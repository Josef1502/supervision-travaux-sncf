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an Michel\Downloads\donnees\2026\"/>
    </mc:Choice>
  </mc:AlternateContent>
  <bookViews>
    <workbookView xWindow="0" yWindow="0" windowWidth="19200" windowHeight="7180"/>
  </bookViews>
  <sheets>
    <sheet name="S02-2026" sheetId="1" r:id="rId1"/>
  </sheets>
  <externalReferences>
    <externalReference r:id="rId2"/>
  </externalReferences>
  <definedNames>
    <definedName name="_xlnm._FilterDatabase" localSheetId="0" hidden="1">'S02-2026'!$A$1:$P$1</definedName>
    <definedName name="OCP">[1]paramètres!$B$2:$B$3</definedName>
    <definedName name="PRIORITE">[1]paramètres!$F$2:$F$6</definedName>
    <definedName name="RECTIF">[1]paramètres!$A$2:$A$4</definedName>
    <definedName name="SR_ET_MINUTE">[1]paramètres!$G$2:$G$5</definedName>
    <definedName name="TP">[1]paramètres!$E$2:$E$5</definedName>
  </definedNames>
  <calcPr calcId="0"/>
  <fileRecoveryPr repairLoad="1"/>
</workbook>
</file>

<file path=xl/sharedStrings.xml><?xml version="1.0" encoding="utf-8"?>
<sst xmlns="http://schemas.openxmlformats.org/spreadsheetml/2006/main" count="1020" uniqueCount="256">
  <si>
    <t>Intitulé Chantier</t>
  </si>
  <si>
    <t>InfPôle</t>
  </si>
  <si>
    <t>Priorité</t>
  </si>
  <si>
    <t>Infos Chantier</t>
  </si>
  <si>
    <t>Type Interception 
- Horaires donnés à titre indicatif -</t>
  </si>
  <si>
    <t>Réduction de Planche admissible</t>
  </si>
  <si>
    <t>CODE_LIGNE</t>
  </si>
  <si>
    <t>PK_DE</t>
  </si>
  <si>
    <t>PK_FIN</t>
  </si>
  <si>
    <t>Sillons Ouvrants</t>
  </si>
  <si>
    <t>Date Début</t>
  </si>
  <si>
    <t>Date de fin</t>
  </si>
  <si>
    <t>Jour</t>
  </si>
  <si>
    <t>Horaire</t>
  </si>
  <si>
    <t>Jour_fin</t>
  </si>
  <si>
    <t>Horaire_fin</t>
  </si>
  <si>
    <t>APMR Chalon</t>
  </si>
  <si>
    <t>BFC</t>
  </si>
  <si>
    <t>Sévérisé</t>
  </si>
  <si>
    <t xml:space="preserve">APMR Chalon - UP Tx
</t>
  </si>
  <si>
    <t xml:space="preserve">Travaux en continu </t>
  </si>
  <si>
    <t>15'</t>
  </si>
  <si>
    <t>Réduction de la longueur des quais 
=&gt; Sens impair = UM interdite, y compris HLP même en opérationnel jusqu'au 29/03/2026</t>
  </si>
  <si>
    <t>RAV Mouchard</t>
  </si>
  <si>
    <t xml:space="preserve">RAV Mouchard -- UO Tx
</t>
  </si>
  <si>
    <t xml:space="preserve">Me : V1 de 14h20 à 15h10 / V2 de 13h50 à 15h30
</t>
  </si>
  <si>
    <t>Me : 
V1 : 9269 (5')
V2 : 9268 (4')</t>
  </si>
  <si>
    <t>Mercredi</t>
  </si>
  <si>
    <t>14:20</t>
  </si>
  <si>
    <t>Mercredi_Fin</t>
  </si>
  <si>
    <t>15:30</t>
  </si>
  <si>
    <t>APMR Mâcon</t>
  </si>
  <si>
    <t xml:space="preserve">APMR Mâcon - UP Tx
</t>
  </si>
  <si>
    <t>Réduction de la longueur des quais 
=&gt; Sens impair = UM interdite, y compris HLP</t>
  </si>
  <si>
    <t>PPBD Gare Souterraine</t>
  </si>
  <si>
    <t>ITIF PSE</t>
  </si>
  <si>
    <t>PPBD LOT SIG
Essais de poste à Poste avec RATP</t>
  </si>
  <si>
    <t>Sa/Di : de 01h00 à 04h40</t>
  </si>
  <si>
    <t>0'</t>
  </si>
  <si>
    <t>Samedi</t>
  </si>
  <si>
    <t>01:00</t>
  </si>
  <si>
    <t>Dimanche_Fin</t>
  </si>
  <si>
    <t>04:40</t>
  </si>
  <si>
    <t>PPBD LOT SIG
ESSAIS BAL</t>
  </si>
  <si>
    <t>Ve/Sa : de 01h20 à 04h00</t>
  </si>
  <si>
    <t>Vendredi</t>
  </si>
  <si>
    <t>01:20</t>
  </si>
  <si>
    <t>Samedi_Fin</t>
  </si>
  <si>
    <t>04:00</t>
  </si>
  <si>
    <t>PPBD Gare souterraine</t>
  </si>
  <si>
    <t xml:space="preserve">981000
</t>
  </si>
  <si>
    <t xml:space="preserve">3,359
</t>
  </si>
  <si>
    <t xml:space="preserve">5,266
</t>
  </si>
  <si>
    <t xml:space="preserve">Travaux La Plaine (branche Genève) </t>
  </si>
  <si>
    <t>Suisse</t>
  </si>
  <si>
    <t>Autre</t>
  </si>
  <si>
    <t>Travaux La Plaine</t>
  </si>
  <si>
    <t>En attente retour du planificateur travaux CFF</t>
  </si>
  <si>
    <t> </t>
  </si>
  <si>
    <t xml:space="preserve">Vigiler de Lu/Ma à Ve/Sa + Di/Lu : 9789 passage théorique au PF à 23h16
Vigiler Sa/Di : 9781 passage théorique au PF à 21h16
</t>
  </si>
  <si>
    <t>Travaux Vallorbe (branche Lausanne)</t>
  </si>
  <si>
    <t>Travaux Vallorbe</t>
  </si>
  <si>
    <t>Vigiler de Lu/Ma à Di/Lu : 9277 passage théorique au PF à 20h58</t>
  </si>
  <si>
    <t>Travaux Bâle 4mk
(branche Zurich/Bâle)</t>
  </si>
  <si>
    <t>Travaux en gare de Bâle
Mise au gabarit des tunnels  KANNENFELD  et SCHUTZENMATT
Mise en conformité  des gabarits au normes européennes P400</t>
  </si>
  <si>
    <t>A partir du 03/11/2025 passage des trains sur une seule voie (VU sur 1,6 kms) = 9203 et 9219 ne tolèront aucun retard (circulation de trains grand Est sur VU avec risque de limitation</t>
  </si>
  <si>
    <t xml:space="preserve">Lu à Di : 9203 / 9211 / 9213 / 9215 / 9219 / 9223 à l'heure pour respect du graphique=&gt; afin de garantir leur passage (circulation de trains grand Est sur VU avec risque de limitation à Bâle si retard)
</t>
  </si>
  <si>
    <t>CCR 5 
St Clair les Roches / St Rambert d'Albon</t>
  </si>
  <si>
    <t>Rhodanien</t>
  </si>
  <si>
    <t>Chantier Local</t>
  </si>
  <si>
    <t>PLM
CCR 5</t>
  </si>
  <si>
    <t>Lu/Ma : de 10h19 à 14h18</t>
  </si>
  <si>
    <t>30'</t>
  </si>
  <si>
    <t>/!\ En cas d'aléas, détournement par LC via Rive Gauche impossible</t>
  </si>
  <si>
    <t>Lundi</t>
  </si>
  <si>
    <t>10:19</t>
  </si>
  <si>
    <t>Mardi_Fin</t>
  </si>
  <si>
    <t>14:18</t>
  </si>
  <si>
    <t>Ma/Me : de 10h19 à 14h18</t>
  </si>
  <si>
    <t>Mardi</t>
  </si>
  <si>
    <t>Me/Je : de 10h19 à 14h18</t>
  </si>
  <si>
    <t>Jeudi_Fin</t>
  </si>
  <si>
    <t>Je/Ve : de 10h19 à 14h18</t>
  </si>
  <si>
    <t>Jeudi</t>
  </si>
  <si>
    <t>Vendredi_Fin</t>
  </si>
  <si>
    <t>Ve/Sa : de 10h19 à 14h18</t>
  </si>
  <si>
    <t>ERGI-HSI
Clerval / Belfort</t>
  </si>
  <si>
    <t>Rhénan</t>
  </si>
  <si>
    <t>Sévérisé fortifié</t>
  </si>
  <si>
    <t xml:space="preserve">HSI  entre Clerval et Belfort
Tvx confortatifs S02 et S03 2026
</t>
  </si>
  <si>
    <t>Lu/Ma : de 22h40 à 04h40</t>
  </si>
  <si>
    <t>22:40</t>
  </si>
  <si>
    <t>Ma/Me : de 22h40 à 04h40</t>
  </si>
  <si>
    <t>Me/Je : de 22h40 à 04h40</t>
  </si>
  <si>
    <t>Je/Ve : de 22h40 à 04h40</t>
  </si>
  <si>
    <t>Ve/Sa : de 22h40 à 04h40</t>
  </si>
  <si>
    <t>Train meuleur Marseille Blancarde / Aubagne</t>
  </si>
  <si>
    <t>PACA</t>
  </si>
  <si>
    <t>train meuleur V1+V2</t>
  </si>
  <si>
    <t>Lu/Ma : V1 + V2 de 22h00 à 06h00</t>
  </si>
  <si>
    <t>Lu/Ma à Ma/Me : 6153 (89')</t>
  </si>
  <si>
    <t>22:00</t>
  </si>
  <si>
    <t>06:00</t>
  </si>
  <si>
    <t>Ma/Me : V1 + V2 de 22h00 à 06h00</t>
  </si>
  <si>
    <t>V1B : de 23h10 à 04h50</t>
  </si>
  <si>
    <t>V2B : de 23h10 à 04h50</t>
  </si>
  <si>
    <t xml:space="preserve">RVB HS Fréjus / Nice </t>
  </si>
  <si>
    <t xml:space="preserve"> RVB zone Nice V1+V2</t>
  </si>
  <si>
    <t>Lu/Ma : de 23h35 à 05h35</t>
  </si>
  <si>
    <t>Lu/Ma à Je/Ve : 6181 (31') / 5537/6 (52')
Di/Lu : 6181 (65')</t>
  </si>
  <si>
    <t>23:35</t>
  </si>
  <si>
    <t>05:35</t>
  </si>
  <si>
    <t>Ma/Me : de 23h35 à 05h35</t>
  </si>
  <si>
    <t>Me/Je : de 23h35 à 05h35</t>
  </si>
  <si>
    <t>Je/Ve : de 23h35 à 05h35</t>
  </si>
  <si>
    <t>Di/Lu : de 00h00 à 05h30</t>
  </si>
  <si>
    <t>Dimanche</t>
  </si>
  <si>
    <t>00:00</t>
  </si>
  <si>
    <t>Lundi_Fin</t>
  </si>
  <si>
    <t>05:30</t>
  </si>
  <si>
    <t xml:space="preserve">APMR Miramas </t>
  </si>
  <si>
    <t xml:space="preserve">Travaux de GC APMR </t>
  </si>
  <si>
    <t>Lu/Ma : de 22h15 à 04h55</t>
  </si>
  <si>
    <t>Lu/Ma à Ve/Sa : 6195 (32')</t>
  </si>
  <si>
    <t>22:15</t>
  </si>
  <si>
    <t>04:55</t>
  </si>
  <si>
    <t>Ma/Me : de 22h15 à 04h55</t>
  </si>
  <si>
    <t>Me/Je : de 22h15 à 04h55</t>
  </si>
  <si>
    <t>Je/Ve : de 22h15 à 04h55</t>
  </si>
  <si>
    <t>Ve/Sa : de 22h15 à 04h55</t>
  </si>
  <si>
    <t>RAV Bif de Darnétal</t>
  </si>
  <si>
    <t>Normandie</t>
  </si>
  <si>
    <t>RAV de 7 ADV : 309-312-TO 309-311a - 311b - 314a - 314b</t>
  </si>
  <si>
    <t>Lu/Ma : de 22h00 à 05h00</t>
  </si>
  <si>
    <t>Lu/Ma à Ve/Sa : 5316/7 (314')</t>
  </si>
  <si>
    <t>05:00</t>
  </si>
  <si>
    <t>Ma/Me : de 22h00 à 05h00</t>
  </si>
  <si>
    <t>Me/Je : de 22h00 à 05h00</t>
  </si>
  <si>
    <t>Je/Ve : de 22h00 à 05h00</t>
  </si>
  <si>
    <t>Ve/Sa : de 22h00 à 05h00</t>
  </si>
  <si>
    <t>ERGI-RRI Standard 
Courcelles / Metz</t>
  </si>
  <si>
    <t>Lorraine</t>
  </si>
  <si>
    <t xml:space="preserve">RRI  entre Courcelles sur Nied et Metz ville
Tvx prépa S46
Tvx principaux de S47 à S51
Tvx confortatifs S02 2026
</t>
  </si>
  <si>
    <t>Lu/Ma : de 23h00 à 05h30</t>
  </si>
  <si>
    <t>Lu/Ma à Ve/Sa : 9896/7 à l'heure</t>
  </si>
  <si>
    <t>23:00</t>
  </si>
  <si>
    <t>Ma/Me : de 23h00 à 05h30</t>
  </si>
  <si>
    <t>Me/Je : de 23h00 à 05h30</t>
  </si>
  <si>
    <t>Je/Ve : de 23h00 à 05h30</t>
  </si>
  <si>
    <t>Ve/Sa : de 23h00 à 05h30</t>
  </si>
  <si>
    <t>Remplacement Appareils de Dilatation Viaduc de la Saône à Mâcon Loché TGV</t>
  </si>
  <si>
    <t xml:space="preserve">LGV SEE </t>
  </si>
  <si>
    <t>RAD de Macon de la S2 à la S4
sauf nuit Ve 16 à Sa 17/01 = passage rame IRIS</t>
  </si>
  <si>
    <t>Lu/Ma : V1 en grand de 21h55 à 07h05 / V2 en grand de 22h15 à 05h50 / Simultanée de 22h40 à 05h50</t>
  </si>
  <si>
    <t xml:space="preserve">Lu/Ma à Je/Ve : 
6633 à l'heure /  794069 Lu/Ma (5') / 9789 (7') / 9784 (11') / 744063 Lu/Ma &amp; Ma/Me (12') / 794071 Lu/Ma (12') / 9845 UM avec 5124 (22') / 9706 (32') / 6986 UM avec 9250 (43') / 6227 (43') / 6129 Ma/Me à Je/Ve (47') / 6634 (49') / 5338/9 (53') / 6180 (67') / 6927 (72')
Ve/Sa : 
6633 (12') / 9784 (36') / 6953 (40') /  9706 (57') / 9789 (62') / 6929 (67') / 6986 UM avec 9250 (68') / 6634 (74') / 9845 UM avec 5124 (77')
</t>
  </si>
  <si>
    <t>21:55</t>
  </si>
  <si>
    <t>05:50</t>
  </si>
  <si>
    <t>Ma/Me : V1 en grand de 21h55 à 07h05 / V2 en grand de 22h15 à 05h50 / Simultanée de 22h40 à 05h50</t>
  </si>
  <si>
    <t>Me/Je : V1 en grand de 21h55 à 07h05 / V2 en grand de 22h15 à 05h50 / Simultanée de 22h40 à 05h50</t>
  </si>
  <si>
    <t>Je/Ve : V1 en grand de 21h55 à 07h05 / V2 en grand de 22h15 à 05h50 / Simultanée de 22h40 à 05h50</t>
  </si>
  <si>
    <t>Ve/Sa : V1 en grand de 22h50 à 07h05 / V2 en grand de 22h40 à 05h50 / Simultanée de 22h50 à 05h50</t>
  </si>
  <si>
    <t>22:50</t>
  </si>
  <si>
    <t>LTV 120 km/h sur V1 sur 1000 m du 06/01</t>
  </si>
  <si>
    <t>/- 2minutes72</t>
  </si>
  <si>
    <t>LTV 160 km/h sur V2 sur 5000 m du 06/01</t>
  </si>
  <si>
    <t>/- 1minutes72</t>
  </si>
  <si>
    <t xml:space="preserve">Maintenance LGV en Belgique </t>
  </si>
  <si>
    <t>LGV Nord</t>
  </si>
  <si>
    <t>Travaux sur LGV en Belgique (après passage frontière de Wannehain) + Travaux sur LGV en Belgique de bif Beauregard et Bif Noord-Halle du 15/08 au 01/09/25</t>
  </si>
  <si>
    <t>Lu/Ma : de 23h10 à 05h00</t>
  </si>
  <si>
    <t>Lu/Ma à Di/Lu : 9882/3 (30')</t>
  </si>
  <si>
    <t>23:10</t>
  </si>
  <si>
    <t>Ma/Me : de 23h10 à 05h00</t>
  </si>
  <si>
    <t>Me/Je : de 23h10 à 05h00</t>
  </si>
  <si>
    <t>Je/Ve : de 23h10 à 05h00</t>
  </si>
  <si>
    <t>Ve/Sa : de 23h10 à 05h00</t>
  </si>
  <si>
    <t>Sa/Di : de 23h10 à 05h00</t>
  </si>
  <si>
    <t>Di/Lu : de 23h10 à 05h00</t>
  </si>
  <si>
    <t>Liaison Ferroviaire Roissy Picardie avec impact sur toute la LGV Nord</t>
  </si>
  <si>
    <t>Chantier EIL NEN-APIF : 
Extinction PAR = IMPACT SUR L'ENSEMBLE DU SECTEUR CIRCULATION</t>
  </si>
  <si>
    <t>Sa/Di : de 23h15 à 04h50</t>
  </si>
  <si>
    <t>Sa/Di : 9882/3 (58')
Di/Lu : 9882/3 (93')</t>
  </si>
  <si>
    <t>23:15</t>
  </si>
  <si>
    <t>04:50</t>
  </si>
  <si>
    <t>Di/Lu : de 23h50 à 04h50</t>
  </si>
  <si>
    <t>23:50</t>
  </si>
  <si>
    <t>RG2I
Fontainebleau / Montereau</t>
  </si>
  <si>
    <t>RRi PSE01 2026 : Tvx RR RG2i V1bis 
- Ligne 74600 / 830000</t>
  </si>
  <si>
    <t>Lu/Ma : de 21h30 à 05h00</t>
  </si>
  <si>
    <t>21:30</t>
  </si>
  <si>
    <t>Ma/Me : de 21h30 à 05h00</t>
  </si>
  <si>
    <t>Me/Je : de 21h30 à 05h00</t>
  </si>
  <si>
    <t>Je/Ve : de 21h30 à 05h00</t>
  </si>
  <si>
    <t>Ve/Sa : de 21h30 à 05h00</t>
  </si>
  <si>
    <t>RG2I
Laroche-Migennes / St Florentin-Vergigny</t>
  </si>
  <si>
    <t>HC PSE01 2026 : Tvx RR RG2i
- Ligne 753306 / 830000</t>
  </si>
  <si>
    <t>Lu/Ma : de 09h51 à 13h32</t>
  </si>
  <si>
    <t>/!\ En cas d'aléas, détournement par LC via St Florentin-Vergigny impossible</t>
  </si>
  <si>
    <t>09:51</t>
  </si>
  <si>
    <t>13:32</t>
  </si>
  <si>
    <t>Ma/Me : de 09h51 à 13h32</t>
  </si>
  <si>
    <t>Me/Je : de 09h51 à 13h32</t>
  </si>
  <si>
    <t>Je/Ve : de 09h51 à 13h32</t>
  </si>
  <si>
    <t>Ve/Sa : de 09h51 à 13h32</t>
  </si>
  <si>
    <t>IFTE</t>
  </si>
  <si>
    <t>Renforcement caténaire pour les rames NG sur les voies Fsc Bourgongne/V2bisM/V2bis</t>
  </si>
  <si>
    <t>OCP de 42h du Sa 10/01</t>
  </si>
  <si>
    <t xml:space="preserve">43,483
</t>
  </si>
  <si>
    <t>RG2I 
Sens / Laroche-Migennes</t>
  </si>
  <si>
    <t>RRi PSE01 2026 : Tvx RR RG2i
-Ligne  830000 Voie 1 Bis Voie 2Bis</t>
  </si>
  <si>
    <t>Lu/Ma : de 08h51 à 14h51</t>
  </si>
  <si>
    <t>08:51</t>
  </si>
  <si>
    <t>14:51</t>
  </si>
  <si>
    <t>Ma/Me : de 08h51 à 14h51</t>
  </si>
  <si>
    <t>Me/Je : de 08h51 à 14h51</t>
  </si>
  <si>
    <t>Je/Ve : de 08h51 à 14h51</t>
  </si>
  <si>
    <t>Ve/Sa : de 08h51 à 14h51</t>
  </si>
  <si>
    <t>PPBD</t>
  </si>
  <si>
    <t>PPBD LOT SIG
Mise en Y Cdv 8,1
BERCY P1 sur V1MS /V2MS/ 4CIRC/ 6CIRC</t>
  </si>
  <si>
    <t>Lu/Ma :</t>
  </si>
  <si>
    <t>Ma/Me :</t>
  </si>
  <si>
    <t>Me/Je :</t>
  </si>
  <si>
    <t>Je/Ve :</t>
  </si>
  <si>
    <t>Ve/Sa :</t>
  </si>
  <si>
    <t>V1MS / V2MS / 4CIRC / 6CIRC de 23h30</t>
  </si>
  <si>
    <t>Déroulage caténaire
Saulon / St-Jean-de-Losne</t>
  </si>
  <si>
    <t>Déroulage caténaire -- UTM SL
: V1 + V2</t>
  </si>
  <si>
    <t>Lu/Ma</t>
  </si>
  <si>
    <t>/!\ En cas d'aléas, détournement par LC via St Jean-de-Losne impossible</t>
  </si>
  <si>
    <t>Ma/Me</t>
  </si>
  <si>
    <t>Me/Je : de 10h15 à 16h15</t>
  </si>
  <si>
    <t>10:15</t>
  </si>
  <si>
    <t>16:15</t>
  </si>
  <si>
    <t>Je/Ve : de 10h15 à 16h15</t>
  </si>
  <si>
    <t>Ve/Sa : de 10h15 à 16h15</t>
  </si>
  <si>
    <t>Travaux en continu du 05/01/26</t>
  </si>
  <si>
    <t>RVB Racc Laroche-Migennes</t>
  </si>
  <si>
    <t>RVB Racc Laroche</t>
  </si>
  <si>
    <t>Laroche P2 et P4 : de 08h10 à 13h40</t>
  </si>
  <si>
    <t>St-Florentin : St Florentin / Laroche P4 V2  de 09h51 à 13h32</t>
  </si>
  <si>
    <t>RRI Sens / Laroche-Migennes</t>
  </si>
  <si>
    <t>RRI Sens - Laroche</t>
  </si>
  <si>
    <t>Lu/Ma : de 10h40 à 12h20</t>
  </si>
  <si>
    <t>10:40</t>
  </si>
  <si>
    <t>12:20</t>
  </si>
  <si>
    <t>Ma/Me : de 10h40 à 12h20</t>
  </si>
  <si>
    <t>Me/Je : de 10h40 à 12h20</t>
  </si>
  <si>
    <t>Je/Ve : de 10h40 à 12h20</t>
  </si>
  <si>
    <t>Ve/Sa : de 10h40 à 12h20</t>
  </si>
  <si>
    <t>OGE RR 
St Marcellin / Moirans</t>
  </si>
  <si>
    <t>ALP</t>
  </si>
  <si>
    <t>Ramassage rails avec TTX</t>
  </si>
  <si>
    <t>Lu/Ma : de 22h20 à 05h50</t>
  </si>
  <si>
    <t>/!\ En cas d'aléas, détournement entre St Marcellin / Moirans impossible</t>
  </si>
  <si>
    <t>22:20</t>
  </si>
  <si>
    <t>Ma/Me : de 22h20 à 05h50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</si>
</sst>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00000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10"/>
      <color rgb="FF0000FF"/>
      <name val="Times New Roman"/>
      <family val="1"/>
    </font>
    <font>
      <sz val="12"/>
      <color indexed="12"/>
      <name val="Times New Roman"/>
      <family val="1"/>
    </font>
    <font>
      <b/>
      <sz val="10"/>
      <color indexed="12"/>
      <name val="Times New Roman"/>
      <family val="1"/>
    </font>
    <font>
      <b/>
      <sz val="11"/>
      <name val="Arial"/>
      <family val="2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Arial"/>
      <family val="2"/>
    </font>
    <font>
      <b/>
      <sz val="10"/>
      <color rgb="FFFF0000"/>
      <name val="Arial"/>
      <family val="2"/>
    </font>
    <font>
      <sz val="12"/>
      <color rgb="FF0000FF"/>
      <name val="Times New Roman"/>
      <family val="1"/>
    </font>
    <font>
      <b/>
      <sz val="10"/>
      <color rgb="FF000000"/>
      <name val="Arial"/>
      <family val="2"/>
    </font>
    <font>
      <b/>
      <sz val="10"/>
      <color rgb="FF000000"/>
      <name val="Arial"/>
    </font>
    <font>
      <b/>
      <sz val="10"/>
      <name val="Arial"/>
    </font>
    <font>
      <sz val="11"/>
      <color rgb="FF000000"/>
      <name val="Arial"/>
    </font>
  </fonts>
  <fills count="15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indexed="42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CCC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2" fillId="0" borderId="0"/>
  </cellStyleXfs>
  <cellXfs count="61">
    <xf numFmtId="0" fontId="0" fillId="0" borderId="0" xfId="0"/>
    <xf numFmtId="0" fontId="8" fillId="0" borderId="1" xfId="1" applyFont="1" applyBorder="1" applyAlignment="1">
      <alignment horizontal="left" vertical="top" wrapText="1" shrinkToFit="1"/>
    </xf>
    <xf numFmtId="0" fontId="9" fillId="0" borderId="1" xfId="3" applyFont="1" applyBorder="1" applyAlignment="1">
      <alignment horizontal="left" vertical="top" wrapText="1" shrinkToFit="1"/>
    </xf>
    <xf numFmtId="0" fontId="6" fillId="0" borderId="1" xfId="2" applyFont="1" applyBorder="1" applyAlignment="1">
      <alignment horizontal="center" vertical="top" wrapText="1" shrinkToFit="1"/>
    </xf>
    <xf numFmtId="0" fontId="3" fillId="0" borderId="1" xfId="1" applyFont="1" applyBorder="1" applyAlignment="1">
      <alignment horizontal="left" vertical="top" wrapText="1" shrinkToFit="1"/>
    </xf>
    <xf numFmtId="14" fontId="2" fillId="0" borderId="1" xfId="1" applyNumberFormat="1" applyBorder="1" applyAlignment="1">
      <alignment horizontal="center" vertical="top" wrapText="1" shrinkToFit="1"/>
    </xf>
    <xf numFmtId="0" fontId="0" fillId="6" borderId="0" xfId="0" applyFill="1"/>
    <xf numFmtId="0" fontId="3" fillId="4" borderId="1" xfId="1" applyFont="1" applyFill="1" applyBorder="1" applyAlignment="1">
      <alignment horizontal="center" vertical="top" wrapText="1" shrinkToFit="1"/>
    </xf>
    <xf numFmtId="0" fontId="11" fillId="5" borderId="1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12" fillId="5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11" fillId="3" borderId="1" xfId="1" applyFont="1" applyFill="1" applyBorder="1" applyAlignment="1">
      <alignment horizontal="center" vertical="center" wrapText="1"/>
    </xf>
    <xf numFmtId="0" fontId="13" fillId="3" borderId="1" xfId="1" applyFont="1" applyFill="1" applyBorder="1" applyAlignment="1">
      <alignment horizontal="left" vertical="top" wrapText="1" shrinkToFit="1"/>
    </xf>
    <xf numFmtId="0" fontId="8" fillId="7" borderId="1" xfId="1" applyFont="1" applyFill="1" applyBorder="1" applyAlignment="1">
      <alignment horizontal="left" vertical="top" wrapText="1" shrinkToFit="1"/>
    </xf>
    <xf numFmtId="0" fontId="10" fillId="3" borderId="1" xfId="1" applyFont="1" applyFill="1" applyBorder="1" applyAlignment="1">
      <alignment horizontal="left" vertical="top" wrapText="1" shrinkToFit="1"/>
    </xf>
    <xf numFmtId="0" fontId="2" fillId="0" borderId="1" xfId="1" applyBorder="1" applyAlignment="1">
      <alignment horizontal="left" vertical="top" wrapText="1" shrinkToFit="1"/>
    </xf>
    <xf numFmtId="0" fontId="4" fillId="3" borderId="1" xfId="1" applyFont="1" applyFill="1" applyBorder="1" applyAlignment="1">
      <alignment horizontal="left" vertical="top" wrapText="1" shrinkToFit="1"/>
    </xf>
    <xf numFmtId="0" fontId="2" fillId="9" borderId="1" xfId="0" applyFont="1" applyFill="1" applyBorder="1" applyAlignment="1">
      <alignment horizontal="left" vertical="top" wrapText="1"/>
    </xf>
    <xf numFmtId="0" fontId="15" fillId="7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6" fillId="11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1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14" fontId="2" fillId="0" borderId="1" xfId="0" applyNumberFormat="1" applyFont="1" applyBorder="1" applyAlignment="1">
      <alignment vertical="top" wrapText="1"/>
    </xf>
    <xf numFmtId="0" fontId="6" fillId="13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14" fillId="0" borderId="1" xfId="0" applyFont="1" applyBorder="1" applyAlignment="1">
      <alignment vertical="top" wrapText="1"/>
    </xf>
    <xf numFmtId="0" fontId="3" fillId="12" borderId="3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left" vertical="top" wrapText="1"/>
    </xf>
    <xf numFmtId="14" fontId="2" fillId="7" borderId="1" xfId="0" applyNumberFormat="1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vertical="top" wrapText="1"/>
    </xf>
    <xf numFmtId="0" fontId="16" fillId="14" borderId="1" xfId="0" applyFont="1" applyFill="1" applyBorder="1" applyAlignment="1">
      <alignment vertical="top"/>
    </xf>
    <xf numFmtId="0" fontId="11" fillId="5" borderId="1" xfId="0" applyFont="1" applyFill="1" applyBorder="1" applyAlignment="1">
      <alignment horizontal="center" vertical="center" wrapText="1"/>
    </xf>
    <xf numFmtId="165" fontId="2" fillId="0" borderId="1" xfId="1" applyNumberFormat="1" applyBorder="1" applyAlignment="1">
      <alignment horizontal="center" vertical="top" wrapText="1" shrinkToFit="1"/>
    </xf>
    <xf numFmtId="164" fontId="2" fillId="0" borderId="1" xfId="1" applyNumberFormat="1" applyBorder="1" applyAlignment="1">
      <alignment horizontal="center" vertical="top" wrapText="1" shrinkToFit="1"/>
    </xf>
    <xf numFmtId="14" fontId="2" fillId="0" borderId="1" xfId="0" applyNumberFormat="1" applyFont="1" applyBorder="1" applyAlignment="1">
      <alignment horizontal="center" vertical="top" wrapText="1" shrinkToFit="1"/>
    </xf>
    <xf numFmtId="0" fontId="8" fillId="0" borderId="1" xfId="0" applyFont="1" applyBorder="1" applyAlignment="1">
      <alignment horizontal="left" vertical="top" wrapText="1" shrinkToFit="1"/>
    </xf>
    <xf numFmtId="0" fontId="9" fillId="0" borderId="2" xfId="0" applyFont="1" applyBorder="1" applyAlignment="1">
      <alignment horizontal="left" vertical="top" wrapText="1" shrinkToFit="1"/>
    </xf>
    <xf numFmtId="0" fontId="6" fillId="2" borderId="1" xfId="0" applyFont="1" applyFill="1" applyBorder="1" applyAlignment="1">
      <alignment horizontal="center" vertical="top" wrapText="1" shrinkToFit="1"/>
    </xf>
    <xf numFmtId="0" fontId="3" fillId="0" borderId="1" xfId="0" applyFont="1" applyBorder="1" applyAlignment="1">
      <alignment horizontal="left" vertical="top" wrapText="1" shrinkToFit="1"/>
    </xf>
    <xf numFmtId="165" fontId="2" fillId="0" borderId="4" xfId="0" applyNumberFormat="1" applyFont="1" applyBorder="1" applyAlignment="1">
      <alignment horizontal="center" vertical="top" wrapText="1" shrinkToFit="1"/>
    </xf>
    <xf numFmtId="164" fontId="2" fillId="0" borderId="1" xfId="0" applyNumberFormat="1" applyFont="1" applyBorder="1" applyAlignment="1">
      <alignment horizontal="center" vertical="top" wrapText="1" shrinkToFit="1"/>
    </xf>
    <xf numFmtId="0" fontId="4" fillId="3" borderId="1" xfId="0" applyFont="1" applyFill="1" applyBorder="1" applyAlignment="1">
      <alignment horizontal="left" vertical="top" wrapText="1" shrinkToFit="1"/>
    </xf>
    <xf numFmtId="0" fontId="6" fillId="0" borderId="1" xfId="0" applyFont="1" applyBorder="1" applyAlignment="1">
      <alignment horizontal="center" vertical="top" wrapText="1" shrinkToFit="1"/>
    </xf>
    <xf numFmtId="0" fontId="3" fillId="4" borderId="3" xfId="0" applyFont="1" applyFill="1" applyBorder="1" applyAlignment="1">
      <alignment horizontal="center" vertical="top" wrapText="1" shrinkToFit="1"/>
    </xf>
    <xf numFmtId="0" fontId="9" fillId="0" borderId="1" xfId="0" applyFont="1" applyBorder="1" applyAlignment="1">
      <alignment horizontal="left" vertical="top" wrapText="1" shrinkToFit="1"/>
    </xf>
    <xf numFmtId="165" fontId="2" fillId="0" borderId="1" xfId="0" applyNumberFormat="1" applyFont="1" applyBorder="1" applyAlignment="1">
      <alignment horizontal="center" vertical="top" wrapText="1" shrinkToFit="1"/>
    </xf>
    <xf numFmtId="0" fontId="17" fillId="7" borderId="1" xfId="0" applyFont="1" applyFill="1" applyBorder="1" applyAlignment="1">
      <alignment horizontal="left" vertical="top" wrapText="1" shrinkToFit="1"/>
    </xf>
    <xf numFmtId="0" fontId="3" fillId="4" borderId="1" xfId="0" applyFont="1" applyFill="1" applyBorder="1" applyAlignment="1">
      <alignment horizontal="center" vertical="top" wrapText="1" shrinkToFit="1"/>
    </xf>
    <xf numFmtId="0" fontId="19" fillId="3" borderId="1" xfId="0" applyFont="1" applyFill="1" applyBorder="1" applyAlignment="1">
      <alignment horizontal="left" vertical="top" wrapText="1" shrinkToFit="1"/>
    </xf>
    <xf numFmtId="0" fontId="8" fillId="7" borderId="1" xfId="0" applyFont="1" applyFill="1" applyBorder="1" applyAlignment="1">
      <alignment horizontal="left" vertical="top" wrapText="1" shrinkToFit="1"/>
    </xf>
    <xf numFmtId="0" fontId="18" fillId="0" borderId="1" xfId="0" applyFont="1" applyBorder="1" applyAlignment="1">
      <alignment horizontal="left" vertical="top" wrapText="1" shrinkToFit="1"/>
    </xf>
    <xf numFmtId="0" fontId="6" fillId="8" borderId="1" xfId="0" applyFont="1" applyFill="1" applyBorder="1" applyAlignment="1">
      <alignment horizontal="center" vertical="top" wrapText="1" shrinkToFit="1"/>
    </xf>
    <xf numFmtId="0" fontId="3" fillId="10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shrinkToFit="1"/>
    </xf>
    <xf numFmtId="0" fontId="13" fillId="3" borderId="1" xfId="0" applyFont="1" applyFill="1" applyBorder="1" applyAlignment="1">
      <alignment horizontal="left" vertical="top" wrapText="1" shrinkToFit="1"/>
    </xf>
  </cellXfs>
  <cellStyles count="4">
    <cellStyle name="Normal" xfId="0" builtinId="0"/>
    <cellStyle name="Normal 2 2 2" xfId="1"/>
    <cellStyle name="Normal 5" xfId="3"/>
    <cellStyle name="Normal 548" xfId="2"/>
  </cellStyles>
  <dxfs count="82"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aisonExterneR&#233;cup&#233;r&#233;e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2-S"/>
      <sheetName val="paramètres"/>
      <sheetName val="Doublons"/>
      <sheetName val="P_2025-S26"/>
      <sheetName val="2025-S52"/>
      <sheetName val="2026-S01"/>
      <sheetName val="2026-S02"/>
      <sheetName val="2026-S03"/>
      <sheetName val="2026-S04"/>
      <sheetName val="P_2026-S05"/>
      <sheetName val="P_2026-S06 "/>
      <sheetName val="P_2026-S07"/>
      <sheetName val="P_2026-S08"/>
      <sheetName val="P_2026-S09"/>
      <sheetName val="P_2026-S10"/>
      <sheetName val="P_2026-S11"/>
      <sheetName val="P_2026-S12"/>
      <sheetName val="P_2026-S13"/>
      <sheetName val="P_2026-S14"/>
      <sheetName val="P_2026-S15"/>
      <sheetName val="P_2026-S16"/>
      <sheetName val="P_2026-S17"/>
      <sheetName val="P_2026-S18"/>
      <sheetName val="P_2026-S19"/>
      <sheetName val="P_2026-S20"/>
      <sheetName val="P_2026-S21"/>
      <sheetName val="P_2026-S22"/>
      <sheetName val="P_2026-S23"/>
      <sheetName val="P_2026-S24"/>
      <sheetName val="P_2026-S25"/>
      <sheetName val="P_2026-S26"/>
      <sheetName val="P_2026-S27"/>
      <sheetName val="P_2026-S28"/>
      <sheetName val="P_2026-S29"/>
      <sheetName val="P_2026-S30"/>
      <sheetName val="P_2026-S31"/>
      <sheetName val="P_2026-S32"/>
      <sheetName val="P_2026-S33"/>
      <sheetName val="P_2026-S34"/>
      <sheetName val="P_2026-S35"/>
      <sheetName val="P_2026-S36"/>
      <sheetName val="P_2026-S37"/>
      <sheetName val="P_2026-S38"/>
      <sheetName val="P_2026-S39"/>
      <sheetName val="P_2026-S40"/>
      <sheetName val="P_2026-S41"/>
      <sheetName val="P_2026-S42"/>
      <sheetName val="P_2026-S43"/>
      <sheetName val="P_2026-S44"/>
      <sheetName val="P_2026-S45"/>
      <sheetName val="P_2026-S46"/>
      <sheetName val="P_2026-S47"/>
      <sheetName val="P_2026-S48"/>
      <sheetName val="P_2026-S49"/>
      <sheetName val="P_2026-S50"/>
      <sheetName val="P_2026-S51"/>
      <sheetName val="P_2026-S52"/>
    </sheetNames>
    <sheetDataSet>
      <sheetData sheetId="0"/>
      <sheetData sheetId="1">
        <row r="2">
          <cell r="A2" t="str">
            <v>Modif</v>
          </cell>
          <cell r="B2" t="str">
            <v>CdP</v>
          </cell>
          <cell r="E2" t="str">
            <v>AT</v>
          </cell>
          <cell r="F2" t="str">
            <v>Sévérisé fortifié</v>
          </cell>
          <cell r="G2" t="str">
            <v>M+S : minuté et scénario de repli</v>
          </cell>
        </row>
        <row r="3">
          <cell r="A3" t="str">
            <v>Supp</v>
          </cell>
          <cell r="B3" t="str">
            <v>FC</v>
          </cell>
          <cell r="E3" t="str">
            <v>IDF</v>
          </cell>
          <cell r="F3" t="str">
            <v>Sévérisé</v>
          </cell>
          <cell r="G3" t="str">
            <v>S : scénario seulement</v>
          </cell>
        </row>
        <row r="4">
          <cell r="A4" t="str">
            <v>Ajout</v>
          </cell>
          <cell r="E4" t="str">
            <v>NEN</v>
          </cell>
          <cell r="F4" t="str">
            <v>Chantier Local</v>
          </cell>
          <cell r="G4" t="str">
            <v>M : minuté seulement</v>
          </cell>
        </row>
        <row r="5">
          <cell r="E5" t="str">
            <v>SE</v>
          </cell>
          <cell r="F5" t="str">
            <v>Autre</v>
          </cell>
          <cell r="G5" t="str">
            <v>Sans</v>
          </cell>
        </row>
        <row r="6">
          <cell r="F6" t="str">
            <v>RAS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P104"/>
  <sheetViews>
    <sheetView tabSelected="1" topLeftCell="F1" zoomScaleNormal="100" workbookViewId="0">
      <selection sqref="A1:XFD1"/>
    </sheetView>
  </sheetViews>
  <sheetFormatPr baseColWidth="10" defaultColWidth="11.4140625" defaultRowHeight="15" customHeight="1" outlineLevelCol="1"/>
  <cols>
    <col min="1" max="1" width="23.58203125" bestFit="1" customWidth="1"/>
    <col min="2" max="2" width="10.83203125" customWidth="1"/>
    <col min="3" max="3" width="15.4140625" bestFit="1" customWidth="1"/>
    <col min="4" max="4" width="37.83203125" customWidth="1"/>
    <col min="5" max="5" width="44.75" customWidth="1"/>
    <col min="6" max="6" width="15.58203125" customWidth="1"/>
    <col min="7" max="7" width="13.1640625" bestFit="1" customWidth="1" outlineLevel="1"/>
    <col min="8" max="8" width="7.83203125" bestFit="1" customWidth="1" outlineLevel="1"/>
    <col min="9" max="9" width="8.83203125" customWidth="1" outlineLevel="1"/>
    <col min="10" max="10" width="32.25" customWidth="1" outlineLevel="1"/>
    <col min="11" max="11" width="11.25" bestFit="1" customWidth="1" outlineLevel="1"/>
    <col min="12" max="12" width="10.75" bestFit="1" customWidth="1" outlineLevel="1"/>
    <col min="13" max="13" width="7.75" bestFit="1" customWidth="1"/>
    <col min="14" max="14" width="7.83203125" bestFit="1" customWidth="1"/>
    <col min="15" max="15" width="11.5" bestFit="1" customWidth="1"/>
    <col min="16" max="16" width="11.9140625" bestFit="1" customWidth="1"/>
    <col min="17" max="19" width="3.75" customWidth="1"/>
  </cols>
  <sheetData>
    <row r="1" spans="1:16" ht="53.25" customHeight="1" thickTop="1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1" t="s">
        <v>5</v>
      </c>
      <c r="G1" s="8" t="s">
        <v>6</v>
      </c>
      <c r="H1" s="8" t="s">
        <v>7</v>
      </c>
      <c r="I1" s="8" t="s">
        <v>8</v>
      </c>
      <c r="J1" s="12" t="s">
        <v>9</v>
      </c>
      <c r="K1" s="8" t="s">
        <v>10</v>
      </c>
      <c r="L1" s="8" t="s">
        <v>11</v>
      </c>
      <c r="M1" s="37" t="s">
        <v>12</v>
      </c>
      <c r="N1" s="37" t="s">
        <v>13</v>
      </c>
      <c r="O1" s="37" t="s">
        <v>14</v>
      </c>
      <c r="P1" s="37" t="s">
        <v>15</v>
      </c>
    </row>
    <row r="2" spans="1:16" s="6" customFormat="1" ht="56">
      <c r="A2" s="1" t="s">
        <v>16</v>
      </c>
      <c r="B2" s="2" t="s">
        <v>17</v>
      </c>
      <c r="C2" s="3" t="s">
        <v>18</v>
      </c>
      <c r="D2" s="4" t="s">
        <v>19</v>
      </c>
      <c r="E2" s="16" t="s">
        <v>20</v>
      </c>
      <c r="F2" s="7" t="s">
        <v>21</v>
      </c>
      <c r="G2" s="38">
        <v>830000</v>
      </c>
      <c r="H2" s="39">
        <v>380</v>
      </c>
      <c r="I2" s="39">
        <v>385</v>
      </c>
      <c r="J2" s="13" t="s">
        <v>22</v>
      </c>
      <c r="K2" s="5">
        <v>46027</v>
      </c>
      <c r="L2" s="5">
        <v>46033</v>
      </c>
      <c r="M2" s="40"/>
      <c r="N2" s="40"/>
      <c r="O2" s="40"/>
      <c r="P2" s="40"/>
    </row>
    <row r="3" spans="1:16" ht="80.150000000000006" customHeight="1">
      <c r="A3" s="1" t="s">
        <v>23</v>
      </c>
      <c r="B3" s="2" t="s">
        <v>17</v>
      </c>
      <c r="C3" s="3" t="s">
        <v>18</v>
      </c>
      <c r="D3" s="4" t="s">
        <v>24</v>
      </c>
      <c r="E3" s="4" t="s">
        <v>25</v>
      </c>
      <c r="F3" s="7" t="s">
        <v>21</v>
      </c>
      <c r="G3" s="38">
        <v>850000</v>
      </c>
      <c r="H3" s="39">
        <v>390</v>
      </c>
      <c r="I3" s="39">
        <v>395</v>
      </c>
      <c r="J3" s="17" t="s">
        <v>26</v>
      </c>
      <c r="K3" s="5">
        <v>46029</v>
      </c>
      <c r="L3" s="5">
        <v>46029</v>
      </c>
      <c r="M3" s="40" t="s">
        <v>27</v>
      </c>
      <c r="N3" s="40" t="s">
        <v>28</v>
      </c>
      <c r="O3" s="40" t="s">
        <v>29</v>
      </c>
      <c r="P3" s="40" t="s">
        <v>30</v>
      </c>
    </row>
    <row r="4" spans="1:16" ht="149.5" customHeight="1">
      <c r="A4" s="14" t="s">
        <v>31</v>
      </c>
      <c r="B4" s="2" t="s">
        <v>17</v>
      </c>
      <c r="C4" s="3" t="s">
        <v>18</v>
      </c>
      <c r="D4" s="4" t="s">
        <v>32</v>
      </c>
      <c r="E4" s="16" t="s">
        <v>20</v>
      </c>
      <c r="F4" s="7" t="s">
        <v>21</v>
      </c>
      <c r="G4" s="38">
        <v>830000</v>
      </c>
      <c r="H4" s="39">
        <v>440</v>
      </c>
      <c r="I4" s="39">
        <v>445</v>
      </c>
      <c r="J4" s="15" t="s">
        <v>33</v>
      </c>
      <c r="K4" s="5">
        <v>46027</v>
      </c>
      <c r="L4" s="5">
        <v>46033</v>
      </c>
      <c r="M4" s="40"/>
      <c r="N4" s="40"/>
      <c r="O4" s="40"/>
      <c r="P4" s="40"/>
    </row>
    <row r="5" spans="1:16" ht="151.5" customHeight="1">
      <c r="A5" s="1" t="s">
        <v>34</v>
      </c>
      <c r="B5" s="2" t="s">
        <v>35</v>
      </c>
      <c r="C5" s="3" t="s">
        <v>18</v>
      </c>
      <c r="D5" s="4" t="s">
        <v>36</v>
      </c>
      <c r="E5" s="4" t="s">
        <v>37</v>
      </c>
      <c r="F5" s="7" t="s">
        <v>38</v>
      </c>
      <c r="G5" s="38">
        <v>830000</v>
      </c>
      <c r="H5" s="39">
        <v>0</v>
      </c>
      <c r="I5" s="39">
        <v>1.0249999999999999</v>
      </c>
      <c r="J5" s="17"/>
      <c r="K5" s="5">
        <v>45667</v>
      </c>
      <c r="L5" s="5">
        <v>45668</v>
      </c>
      <c r="M5" s="40" t="s">
        <v>39</v>
      </c>
      <c r="N5" s="40" t="s">
        <v>40</v>
      </c>
      <c r="O5" s="40" t="s">
        <v>41</v>
      </c>
      <c r="P5" s="40" t="s">
        <v>42</v>
      </c>
    </row>
    <row r="6" spans="1:16" ht="160" customHeight="1">
      <c r="A6" s="1" t="s">
        <v>34</v>
      </c>
      <c r="B6" s="2" t="s">
        <v>35</v>
      </c>
      <c r="C6" s="3" t="s">
        <v>18</v>
      </c>
      <c r="D6" s="4" t="s">
        <v>43</v>
      </c>
      <c r="E6" s="4" t="s">
        <v>44</v>
      </c>
      <c r="F6" s="7" t="s">
        <v>38</v>
      </c>
      <c r="G6" s="38">
        <v>981000</v>
      </c>
      <c r="H6" s="39">
        <v>3.359</v>
      </c>
      <c r="I6" s="39">
        <v>5.266</v>
      </c>
      <c r="J6" s="17"/>
      <c r="K6" s="5">
        <v>45666</v>
      </c>
      <c r="L6" s="5">
        <v>45667</v>
      </c>
      <c r="M6" s="40" t="s">
        <v>45</v>
      </c>
      <c r="N6" s="40" t="s">
        <v>46</v>
      </c>
      <c r="O6" s="40" t="s">
        <v>47</v>
      </c>
      <c r="P6" s="40" t="s">
        <v>48</v>
      </c>
    </row>
    <row r="7" spans="1:16" ht="162" customHeight="1">
      <c r="A7" s="1" t="s">
        <v>49</v>
      </c>
      <c r="B7" s="2" t="s">
        <v>35</v>
      </c>
      <c r="C7" s="3" t="s">
        <v>18</v>
      </c>
      <c r="D7" s="4" t="s">
        <v>36</v>
      </c>
      <c r="E7" s="4" t="s">
        <v>37</v>
      </c>
      <c r="F7" s="7" t="s">
        <v>38</v>
      </c>
      <c r="G7" s="38" t="s">
        <v>50</v>
      </c>
      <c r="H7" s="39" t="s">
        <v>51</v>
      </c>
      <c r="I7" s="39" t="s">
        <v>52</v>
      </c>
      <c r="J7" s="17"/>
      <c r="K7" s="5">
        <v>45667</v>
      </c>
      <c r="L7" s="5">
        <v>45668</v>
      </c>
      <c r="M7" s="40" t="s">
        <v>39</v>
      </c>
      <c r="N7" s="40" t="s">
        <v>40</v>
      </c>
      <c r="O7" s="40" t="s">
        <v>41</v>
      </c>
      <c r="P7" s="40" t="s">
        <v>42</v>
      </c>
    </row>
    <row r="8" spans="1:16" ht="155.15" customHeight="1">
      <c r="A8" s="19" t="s">
        <v>53</v>
      </c>
      <c r="B8" s="35" t="s">
        <v>54</v>
      </c>
      <c r="C8" s="27" t="s">
        <v>55</v>
      </c>
      <c r="D8" s="28" t="s">
        <v>56</v>
      </c>
      <c r="E8" s="29" t="s">
        <v>57</v>
      </c>
      <c r="F8" s="30" t="s">
        <v>38</v>
      </c>
      <c r="G8" s="24" t="s">
        <v>58</v>
      </c>
      <c r="H8" s="24" t="s">
        <v>58</v>
      </c>
      <c r="I8" s="31" t="s">
        <v>58</v>
      </c>
      <c r="J8" s="32" t="s">
        <v>59</v>
      </c>
      <c r="K8" s="33">
        <v>46027</v>
      </c>
      <c r="L8" s="33">
        <v>46033</v>
      </c>
      <c r="M8" s="33"/>
      <c r="N8" s="33"/>
      <c r="O8" s="33"/>
      <c r="P8" s="33"/>
    </row>
    <row r="9" spans="1:16" ht="156.65" customHeight="1">
      <c r="A9" s="19" t="s">
        <v>60</v>
      </c>
      <c r="B9" s="35" t="s">
        <v>54</v>
      </c>
      <c r="C9" s="27" t="s">
        <v>55</v>
      </c>
      <c r="D9" s="28" t="s">
        <v>61</v>
      </c>
      <c r="E9" s="29" t="s">
        <v>57</v>
      </c>
      <c r="F9" s="30" t="s">
        <v>38</v>
      </c>
      <c r="G9" s="24" t="s">
        <v>58</v>
      </c>
      <c r="H9" s="24" t="s">
        <v>58</v>
      </c>
      <c r="I9" s="24" t="s">
        <v>58</v>
      </c>
      <c r="J9" s="34" t="s">
        <v>62</v>
      </c>
      <c r="K9" s="33">
        <v>46027</v>
      </c>
      <c r="L9" s="33">
        <v>46033</v>
      </c>
      <c r="M9" s="33"/>
      <c r="N9" s="33"/>
      <c r="O9" s="33"/>
      <c r="P9" s="33"/>
    </row>
    <row r="10" spans="1:16" ht="161.5" customHeight="1">
      <c r="A10" s="19" t="s">
        <v>63</v>
      </c>
      <c r="B10" s="20" t="s">
        <v>54</v>
      </c>
      <c r="C10" s="21" t="s">
        <v>55</v>
      </c>
      <c r="D10" s="22" t="s">
        <v>64</v>
      </c>
      <c r="E10" s="22" t="s">
        <v>65</v>
      </c>
      <c r="F10" s="30" t="s">
        <v>38</v>
      </c>
      <c r="G10" s="24" t="s">
        <v>58</v>
      </c>
      <c r="H10" s="24" t="s">
        <v>58</v>
      </c>
      <c r="I10" s="24" t="s">
        <v>58</v>
      </c>
      <c r="J10" s="25" t="s">
        <v>66</v>
      </c>
      <c r="K10" s="26">
        <v>46027</v>
      </c>
      <c r="L10" s="26">
        <v>46073</v>
      </c>
      <c r="M10" s="26"/>
      <c r="N10" s="26"/>
      <c r="O10" s="26"/>
      <c r="P10" s="26"/>
    </row>
    <row r="11" spans="1:16" ht="156.65" customHeight="1">
      <c r="A11" s="41" t="s">
        <v>67</v>
      </c>
      <c r="B11" s="42" t="s">
        <v>68</v>
      </c>
      <c r="C11" s="43" t="s">
        <v>69</v>
      </c>
      <c r="D11" s="44" t="s">
        <v>70</v>
      </c>
      <c r="E11" s="44" t="s">
        <v>71</v>
      </c>
      <c r="F11" s="30" t="s">
        <v>72</v>
      </c>
      <c r="G11" s="45">
        <v>830000</v>
      </c>
      <c r="H11" s="46">
        <v>554.11900000000003</v>
      </c>
      <c r="I11" s="46">
        <v>570.24800000000005</v>
      </c>
      <c r="J11" s="47" t="s">
        <v>73</v>
      </c>
      <c r="K11" s="40">
        <v>46027</v>
      </c>
      <c r="L11" s="40">
        <v>46061</v>
      </c>
      <c r="M11" s="40" t="s">
        <v>74</v>
      </c>
      <c r="N11" s="40" t="s">
        <v>75</v>
      </c>
      <c r="O11" s="40" t="s">
        <v>76</v>
      </c>
      <c r="P11" s="40" t="s">
        <v>77</v>
      </c>
    </row>
    <row r="12" spans="1:16" ht="159.65" customHeight="1">
      <c r="A12" s="41" t="s">
        <v>67</v>
      </c>
      <c r="B12" s="42" t="s">
        <v>68</v>
      </c>
      <c r="C12" s="43" t="s">
        <v>69</v>
      </c>
      <c r="D12" s="44" t="s">
        <v>70</v>
      </c>
      <c r="E12" s="44" t="s">
        <v>78</v>
      </c>
      <c r="F12" s="30" t="s">
        <v>72</v>
      </c>
      <c r="G12" s="45">
        <v>830000</v>
      </c>
      <c r="H12" s="46">
        <v>554.11900000000003</v>
      </c>
      <c r="I12" s="46">
        <v>570.24800000000005</v>
      </c>
      <c r="J12" s="47" t="s">
        <v>73</v>
      </c>
      <c r="K12" s="40">
        <v>46027</v>
      </c>
      <c r="L12" s="40">
        <v>46061</v>
      </c>
      <c r="M12" s="40" t="s">
        <v>79</v>
      </c>
      <c r="N12" s="40" t="s">
        <v>75</v>
      </c>
      <c r="O12" s="40" t="s">
        <v>29</v>
      </c>
      <c r="P12" s="40" t="s">
        <v>77</v>
      </c>
    </row>
    <row r="13" spans="1:16" ht="162.65" customHeight="1">
      <c r="A13" s="41" t="s">
        <v>67</v>
      </c>
      <c r="B13" s="42" t="s">
        <v>68</v>
      </c>
      <c r="C13" s="43" t="s">
        <v>69</v>
      </c>
      <c r="D13" s="44" t="s">
        <v>70</v>
      </c>
      <c r="E13" s="44" t="s">
        <v>80</v>
      </c>
      <c r="F13" s="30" t="s">
        <v>72</v>
      </c>
      <c r="G13" s="45">
        <v>830000</v>
      </c>
      <c r="H13" s="46">
        <v>554.11900000000003</v>
      </c>
      <c r="I13" s="46">
        <v>570.24800000000005</v>
      </c>
      <c r="J13" s="47" t="s">
        <v>73</v>
      </c>
      <c r="K13" s="40">
        <v>46027</v>
      </c>
      <c r="L13" s="40">
        <v>46061</v>
      </c>
      <c r="M13" s="40" t="s">
        <v>27</v>
      </c>
      <c r="N13" s="40" t="s">
        <v>75</v>
      </c>
      <c r="O13" s="40" t="s">
        <v>81</v>
      </c>
      <c r="P13" s="40" t="s">
        <v>77</v>
      </c>
    </row>
    <row r="14" spans="1:16" ht="158.15" customHeight="1">
      <c r="A14" s="41" t="s">
        <v>67</v>
      </c>
      <c r="B14" s="42" t="s">
        <v>68</v>
      </c>
      <c r="C14" s="43" t="s">
        <v>69</v>
      </c>
      <c r="D14" s="44" t="s">
        <v>70</v>
      </c>
      <c r="E14" s="44" t="s">
        <v>82</v>
      </c>
      <c r="F14" s="30" t="s">
        <v>72</v>
      </c>
      <c r="G14" s="45">
        <v>830000</v>
      </c>
      <c r="H14" s="46">
        <v>554.11900000000003</v>
      </c>
      <c r="I14" s="46">
        <v>570.24800000000005</v>
      </c>
      <c r="J14" s="47" t="s">
        <v>73</v>
      </c>
      <c r="K14" s="40">
        <v>46027</v>
      </c>
      <c r="L14" s="40">
        <v>46061</v>
      </c>
      <c r="M14" s="40" t="s">
        <v>83</v>
      </c>
      <c r="N14" s="40" t="s">
        <v>75</v>
      </c>
      <c r="O14" s="40" t="s">
        <v>84</v>
      </c>
      <c r="P14" s="40" t="s">
        <v>77</v>
      </c>
    </row>
    <row r="15" spans="1:16" ht="165" customHeight="1">
      <c r="A15" s="41" t="s">
        <v>67</v>
      </c>
      <c r="B15" s="42" t="s">
        <v>68</v>
      </c>
      <c r="C15" s="43" t="s">
        <v>69</v>
      </c>
      <c r="D15" s="44" t="s">
        <v>70</v>
      </c>
      <c r="E15" s="44" t="s">
        <v>85</v>
      </c>
      <c r="F15" s="30" t="s">
        <v>72</v>
      </c>
      <c r="G15" s="45">
        <v>830000</v>
      </c>
      <c r="H15" s="46">
        <v>554.11900000000003</v>
      </c>
      <c r="I15" s="46">
        <v>570.24800000000005</v>
      </c>
      <c r="J15" s="47" t="s">
        <v>73</v>
      </c>
      <c r="K15" s="40">
        <v>46027</v>
      </c>
      <c r="L15" s="40">
        <v>46061</v>
      </c>
      <c r="M15" s="40" t="s">
        <v>45</v>
      </c>
      <c r="N15" s="40" t="s">
        <v>75</v>
      </c>
      <c r="O15" s="40" t="s">
        <v>47</v>
      </c>
      <c r="P15" s="40" t="s">
        <v>77</v>
      </c>
    </row>
    <row r="16" spans="1:16" ht="165" customHeight="1">
      <c r="A16" s="41" t="s">
        <v>86</v>
      </c>
      <c r="B16" s="42" t="s">
        <v>87</v>
      </c>
      <c r="C16" s="48" t="s">
        <v>88</v>
      </c>
      <c r="D16" s="44" t="s">
        <v>89</v>
      </c>
      <c r="E16" s="44" t="s">
        <v>90</v>
      </c>
      <c r="F16" s="49" t="s">
        <v>21</v>
      </c>
      <c r="G16" s="45">
        <v>852000</v>
      </c>
      <c r="H16" s="46">
        <v>452.90300000000002</v>
      </c>
      <c r="I16" s="46">
        <v>499.90300000000002</v>
      </c>
      <c r="J16" s="47"/>
      <c r="K16" s="40">
        <v>46028</v>
      </c>
      <c r="L16" s="40">
        <v>46032</v>
      </c>
      <c r="M16" s="40" t="s">
        <v>74</v>
      </c>
      <c r="N16" s="40" t="s">
        <v>91</v>
      </c>
      <c r="O16" s="40" t="s">
        <v>76</v>
      </c>
      <c r="P16" s="40" t="s">
        <v>42</v>
      </c>
    </row>
    <row r="17" spans="1:16" ht="172" customHeight="1">
      <c r="A17" s="41" t="s">
        <v>86</v>
      </c>
      <c r="B17" s="42" t="s">
        <v>87</v>
      </c>
      <c r="C17" s="48" t="s">
        <v>88</v>
      </c>
      <c r="D17" s="44" t="s">
        <v>89</v>
      </c>
      <c r="E17" s="44" t="s">
        <v>92</v>
      </c>
      <c r="F17" s="49" t="s">
        <v>21</v>
      </c>
      <c r="G17" s="45">
        <v>852000</v>
      </c>
      <c r="H17" s="46">
        <v>452.90300000000002</v>
      </c>
      <c r="I17" s="46">
        <v>499.90300000000002</v>
      </c>
      <c r="J17" s="47"/>
      <c r="K17" s="40">
        <v>46028</v>
      </c>
      <c r="L17" s="40">
        <v>46032</v>
      </c>
      <c r="M17" s="40" t="s">
        <v>79</v>
      </c>
      <c r="N17" s="40" t="s">
        <v>91</v>
      </c>
      <c r="O17" s="40" t="s">
        <v>29</v>
      </c>
      <c r="P17" s="40" t="s">
        <v>42</v>
      </c>
    </row>
    <row r="18" spans="1:16" ht="155.5" customHeight="1">
      <c r="A18" s="41" t="s">
        <v>86</v>
      </c>
      <c r="B18" s="42" t="s">
        <v>87</v>
      </c>
      <c r="C18" s="48" t="s">
        <v>88</v>
      </c>
      <c r="D18" s="44" t="s">
        <v>89</v>
      </c>
      <c r="E18" s="44" t="s">
        <v>93</v>
      </c>
      <c r="F18" s="49" t="s">
        <v>21</v>
      </c>
      <c r="G18" s="45">
        <v>852000</v>
      </c>
      <c r="H18" s="46">
        <v>452.90300000000002</v>
      </c>
      <c r="I18" s="46">
        <v>499.90300000000002</v>
      </c>
      <c r="J18" s="47"/>
      <c r="K18" s="40">
        <v>46028</v>
      </c>
      <c r="L18" s="40">
        <v>46032</v>
      </c>
      <c r="M18" s="40" t="s">
        <v>27</v>
      </c>
      <c r="N18" s="40" t="s">
        <v>91</v>
      </c>
      <c r="O18" s="40" t="s">
        <v>81</v>
      </c>
      <c r="P18" s="40" t="s">
        <v>42</v>
      </c>
    </row>
    <row r="19" spans="1:16" ht="148" customHeight="1">
      <c r="A19" s="41" t="s">
        <v>86</v>
      </c>
      <c r="B19" s="42" t="s">
        <v>87</v>
      </c>
      <c r="C19" s="48" t="s">
        <v>88</v>
      </c>
      <c r="D19" s="44" t="s">
        <v>89</v>
      </c>
      <c r="E19" s="44" t="s">
        <v>94</v>
      </c>
      <c r="F19" s="49" t="s">
        <v>21</v>
      </c>
      <c r="G19" s="45">
        <v>852000</v>
      </c>
      <c r="H19" s="46">
        <v>452.90300000000002</v>
      </c>
      <c r="I19" s="46">
        <v>499.90300000000002</v>
      </c>
      <c r="J19" s="47"/>
      <c r="K19" s="40">
        <v>46028</v>
      </c>
      <c r="L19" s="40">
        <v>46032</v>
      </c>
      <c r="M19" s="40" t="s">
        <v>83</v>
      </c>
      <c r="N19" s="40" t="s">
        <v>91</v>
      </c>
      <c r="O19" s="40" t="s">
        <v>84</v>
      </c>
      <c r="P19" s="40" t="s">
        <v>42</v>
      </c>
    </row>
    <row r="20" spans="1:16" ht="156" customHeight="1">
      <c r="A20" s="41" t="s">
        <v>86</v>
      </c>
      <c r="B20" s="42" t="s">
        <v>87</v>
      </c>
      <c r="C20" s="48" t="s">
        <v>88</v>
      </c>
      <c r="D20" s="44" t="s">
        <v>89</v>
      </c>
      <c r="E20" s="44" t="s">
        <v>95</v>
      </c>
      <c r="F20" s="49" t="s">
        <v>21</v>
      </c>
      <c r="G20" s="45">
        <v>852000</v>
      </c>
      <c r="H20" s="46">
        <v>452.90300000000002</v>
      </c>
      <c r="I20" s="46">
        <v>499.90300000000002</v>
      </c>
      <c r="J20" s="47"/>
      <c r="K20" s="40">
        <v>46028</v>
      </c>
      <c r="L20" s="40">
        <v>46032</v>
      </c>
      <c r="M20" s="40" t="s">
        <v>45</v>
      </c>
      <c r="N20" s="40" t="s">
        <v>91</v>
      </c>
      <c r="O20" s="40" t="s">
        <v>47</v>
      </c>
      <c r="P20" s="40" t="s">
        <v>42</v>
      </c>
    </row>
    <row r="21" spans="1:16" ht="177" customHeight="1">
      <c r="A21" s="41" t="s">
        <v>96</v>
      </c>
      <c r="B21" s="50" t="s">
        <v>97</v>
      </c>
      <c r="C21" s="48" t="s">
        <v>18</v>
      </c>
      <c r="D21" s="44" t="s">
        <v>98</v>
      </c>
      <c r="E21" s="22" t="s">
        <v>99</v>
      </c>
      <c r="F21" s="23" t="s">
        <v>72</v>
      </c>
      <c r="G21" s="51">
        <v>930000</v>
      </c>
      <c r="H21" s="46">
        <v>3.7</v>
      </c>
      <c r="I21" s="46">
        <v>16.7</v>
      </c>
      <c r="J21" s="36" t="s">
        <v>100</v>
      </c>
      <c r="K21" s="40">
        <v>46027</v>
      </c>
      <c r="L21" s="40">
        <v>46029</v>
      </c>
      <c r="M21" s="40" t="s">
        <v>74</v>
      </c>
      <c r="N21" s="40" t="s">
        <v>101</v>
      </c>
      <c r="O21" s="40" t="s">
        <v>76</v>
      </c>
      <c r="P21" s="40" t="s">
        <v>102</v>
      </c>
    </row>
    <row r="22" spans="1:16" ht="251.25" customHeight="1">
      <c r="A22" s="41" t="s">
        <v>96</v>
      </c>
      <c r="B22" s="50" t="s">
        <v>97</v>
      </c>
      <c r="C22" s="48" t="s">
        <v>18</v>
      </c>
      <c r="D22" s="44" t="s">
        <v>98</v>
      </c>
      <c r="E22" s="22" t="s">
        <v>103</v>
      </c>
      <c r="F22" s="23" t="s">
        <v>72</v>
      </c>
      <c r="G22" s="51">
        <v>930000</v>
      </c>
      <c r="H22" s="46">
        <v>3.7</v>
      </c>
      <c r="I22" s="46">
        <v>16.7</v>
      </c>
      <c r="J22" s="36" t="s">
        <v>100</v>
      </c>
      <c r="K22" s="40">
        <v>46027</v>
      </c>
      <c r="L22" s="40">
        <v>46029</v>
      </c>
      <c r="M22" s="40" t="s">
        <v>79</v>
      </c>
      <c r="N22" s="40" t="s">
        <v>101</v>
      </c>
      <c r="O22" s="40" t="s">
        <v>29</v>
      </c>
      <c r="P22" s="40" t="s">
        <v>102</v>
      </c>
    </row>
    <row r="23" spans="1:16" ht="153.65" customHeight="1">
      <c r="A23" s="41" t="s">
        <v>96</v>
      </c>
      <c r="B23" s="50" t="s">
        <v>97</v>
      </c>
      <c r="C23" s="48" t="s">
        <v>18</v>
      </c>
      <c r="D23" s="44" t="s">
        <v>98</v>
      </c>
      <c r="E23" s="22" t="s">
        <v>104</v>
      </c>
      <c r="F23" s="23" t="s">
        <v>72</v>
      </c>
      <c r="G23" s="51">
        <v>930000</v>
      </c>
      <c r="H23" s="46">
        <v>3.7</v>
      </c>
      <c r="I23" s="46">
        <v>16.7</v>
      </c>
      <c r="J23" s="36" t="s">
        <v>100</v>
      </c>
      <c r="K23" s="40">
        <v>46027</v>
      </c>
      <c r="L23" s="40">
        <v>46029</v>
      </c>
      <c r="M23" s="40"/>
      <c r="N23" s="40"/>
      <c r="O23" s="40"/>
      <c r="P23" s="40"/>
    </row>
    <row r="24" spans="1:16" ht="165.65" customHeight="1">
      <c r="A24" s="41" t="s">
        <v>96</v>
      </c>
      <c r="B24" s="50" t="s">
        <v>97</v>
      </c>
      <c r="C24" s="48" t="s">
        <v>18</v>
      </c>
      <c r="D24" s="44" t="s">
        <v>98</v>
      </c>
      <c r="E24" s="22" t="s">
        <v>105</v>
      </c>
      <c r="F24" s="23" t="s">
        <v>72</v>
      </c>
      <c r="G24" s="51">
        <v>930000</v>
      </c>
      <c r="H24" s="46">
        <v>3.7</v>
      </c>
      <c r="I24" s="46">
        <v>16.7</v>
      </c>
      <c r="J24" s="36" t="s">
        <v>100</v>
      </c>
      <c r="K24" s="40">
        <v>46027</v>
      </c>
      <c r="L24" s="40">
        <v>46029</v>
      </c>
      <c r="M24" s="40"/>
      <c r="N24" s="40"/>
      <c r="O24" s="40"/>
      <c r="P24" s="40"/>
    </row>
    <row r="25" spans="1:16" ht="165" customHeight="1">
      <c r="A25" s="41" t="s">
        <v>106</v>
      </c>
      <c r="B25" s="50" t="s">
        <v>97</v>
      </c>
      <c r="C25" s="48" t="s">
        <v>88</v>
      </c>
      <c r="D25" s="44" t="s">
        <v>107</v>
      </c>
      <c r="E25" s="52" t="s">
        <v>108</v>
      </c>
      <c r="F25" s="53" t="s">
        <v>21</v>
      </c>
      <c r="G25" s="51">
        <v>930000</v>
      </c>
      <c r="H25" s="46">
        <v>222.8</v>
      </c>
      <c r="I25" s="46">
        <v>223.8</v>
      </c>
      <c r="J25" s="54" t="s">
        <v>109</v>
      </c>
      <c r="K25" s="40">
        <v>46027</v>
      </c>
      <c r="L25" s="40">
        <v>46138</v>
      </c>
      <c r="M25" s="40" t="s">
        <v>74</v>
      </c>
      <c r="N25" s="40" t="s">
        <v>110</v>
      </c>
      <c r="O25" s="40" t="s">
        <v>76</v>
      </c>
      <c r="P25" s="40" t="s">
        <v>111</v>
      </c>
    </row>
    <row r="26" spans="1:16" ht="157.5" customHeight="1">
      <c r="A26" s="41" t="s">
        <v>106</v>
      </c>
      <c r="B26" s="50" t="s">
        <v>97</v>
      </c>
      <c r="C26" s="48" t="s">
        <v>88</v>
      </c>
      <c r="D26" s="44" t="s">
        <v>107</v>
      </c>
      <c r="E26" s="52" t="s">
        <v>112</v>
      </c>
      <c r="F26" s="53" t="s">
        <v>21</v>
      </c>
      <c r="G26" s="51">
        <v>930000</v>
      </c>
      <c r="H26" s="46">
        <v>222.8</v>
      </c>
      <c r="I26" s="46">
        <v>223.8</v>
      </c>
      <c r="J26" s="54" t="s">
        <v>109</v>
      </c>
      <c r="K26" s="40">
        <v>46027</v>
      </c>
      <c r="L26" s="40">
        <v>46138</v>
      </c>
      <c r="M26" s="40" t="s">
        <v>79</v>
      </c>
      <c r="N26" s="40" t="s">
        <v>110</v>
      </c>
      <c r="O26" s="40" t="s">
        <v>29</v>
      </c>
      <c r="P26" s="40" t="s">
        <v>111</v>
      </c>
    </row>
    <row r="27" spans="1:16" ht="166.5" customHeight="1">
      <c r="A27" s="41" t="s">
        <v>106</v>
      </c>
      <c r="B27" s="50" t="s">
        <v>97</v>
      </c>
      <c r="C27" s="48" t="s">
        <v>88</v>
      </c>
      <c r="D27" s="44" t="s">
        <v>107</v>
      </c>
      <c r="E27" s="52" t="s">
        <v>113</v>
      </c>
      <c r="F27" s="53" t="s">
        <v>21</v>
      </c>
      <c r="G27" s="51">
        <v>930000</v>
      </c>
      <c r="H27" s="46">
        <v>222.8</v>
      </c>
      <c r="I27" s="46">
        <v>223.8</v>
      </c>
      <c r="J27" s="54" t="s">
        <v>109</v>
      </c>
      <c r="K27" s="40">
        <v>46027</v>
      </c>
      <c r="L27" s="40">
        <v>46138</v>
      </c>
      <c r="M27" s="40" t="s">
        <v>27</v>
      </c>
      <c r="N27" s="40" t="s">
        <v>110</v>
      </c>
      <c r="O27" s="40" t="s">
        <v>81</v>
      </c>
      <c r="P27" s="40" t="s">
        <v>111</v>
      </c>
    </row>
    <row r="28" spans="1:16" ht="161.15" customHeight="1">
      <c r="A28" s="41" t="s">
        <v>106</v>
      </c>
      <c r="B28" s="50" t="s">
        <v>97</v>
      </c>
      <c r="C28" s="48" t="s">
        <v>88</v>
      </c>
      <c r="D28" s="44" t="s">
        <v>107</v>
      </c>
      <c r="E28" s="52" t="s">
        <v>114</v>
      </c>
      <c r="F28" s="53" t="s">
        <v>21</v>
      </c>
      <c r="G28" s="51">
        <v>930000</v>
      </c>
      <c r="H28" s="46">
        <v>222.8</v>
      </c>
      <c r="I28" s="46">
        <v>223.8</v>
      </c>
      <c r="J28" s="54" t="s">
        <v>109</v>
      </c>
      <c r="K28" s="40">
        <v>46027</v>
      </c>
      <c r="L28" s="40">
        <v>46138</v>
      </c>
      <c r="M28" s="40" t="s">
        <v>83</v>
      </c>
      <c r="N28" s="40" t="s">
        <v>110</v>
      </c>
      <c r="O28" s="40" t="s">
        <v>84</v>
      </c>
      <c r="P28" s="40" t="s">
        <v>111</v>
      </c>
    </row>
    <row r="29" spans="1:16" ht="162" customHeight="1">
      <c r="A29" s="41" t="s">
        <v>106</v>
      </c>
      <c r="B29" s="50" t="s">
        <v>97</v>
      </c>
      <c r="C29" s="48" t="s">
        <v>88</v>
      </c>
      <c r="D29" s="44" t="s">
        <v>107</v>
      </c>
      <c r="E29" s="52" t="s">
        <v>115</v>
      </c>
      <c r="F29" s="53" t="s">
        <v>21</v>
      </c>
      <c r="G29" s="51">
        <v>930000</v>
      </c>
      <c r="H29" s="46">
        <v>222.8</v>
      </c>
      <c r="I29" s="46">
        <v>223.8</v>
      </c>
      <c r="J29" s="54" t="s">
        <v>109</v>
      </c>
      <c r="K29" s="40">
        <v>46027</v>
      </c>
      <c r="L29" s="40">
        <v>46138</v>
      </c>
      <c r="M29" s="40" t="s">
        <v>116</v>
      </c>
      <c r="N29" s="40" t="s">
        <v>117</v>
      </c>
      <c r="O29" s="40" t="s">
        <v>118</v>
      </c>
      <c r="P29" s="40" t="s">
        <v>119</v>
      </c>
    </row>
    <row r="30" spans="1:16" ht="157" customHeight="1">
      <c r="A30" s="55" t="s">
        <v>120</v>
      </c>
      <c r="B30" s="50" t="s">
        <v>97</v>
      </c>
      <c r="C30" s="48" t="s">
        <v>18</v>
      </c>
      <c r="D30" s="44" t="s">
        <v>121</v>
      </c>
      <c r="E30" s="44" t="s">
        <v>122</v>
      </c>
      <c r="F30" s="53" t="s">
        <v>38</v>
      </c>
      <c r="G30" s="51">
        <v>830000</v>
      </c>
      <c r="H30" s="46">
        <v>808</v>
      </c>
      <c r="I30" s="46">
        <v>810</v>
      </c>
      <c r="J30" s="47" t="s">
        <v>123</v>
      </c>
      <c r="K30" s="40">
        <v>46027</v>
      </c>
      <c r="L30" s="40">
        <v>46201</v>
      </c>
      <c r="M30" s="40" t="s">
        <v>74</v>
      </c>
      <c r="N30" s="40" t="s">
        <v>124</v>
      </c>
      <c r="O30" s="40" t="s">
        <v>76</v>
      </c>
      <c r="P30" s="40" t="s">
        <v>125</v>
      </c>
    </row>
    <row r="31" spans="1:16" ht="166.5" customHeight="1">
      <c r="A31" s="55" t="s">
        <v>120</v>
      </c>
      <c r="B31" s="50" t="s">
        <v>97</v>
      </c>
      <c r="C31" s="48" t="s">
        <v>18</v>
      </c>
      <c r="D31" s="44" t="s">
        <v>121</v>
      </c>
      <c r="E31" s="44" t="s">
        <v>126</v>
      </c>
      <c r="F31" s="53" t="s">
        <v>38</v>
      </c>
      <c r="G31" s="51">
        <v>830000</v>
      </c>
      <c r="H31" s="46">
        <v>808</v>
      </c>
      <c r="I31" s="46">
        <v>810</v>
      </c>
      <c r="J31" s="47" t="s">
        <v>123</v>
      </c>
      <c r="K31" s="40">
        <v>46027</v>
      </c>
      <c r="L31" s="40">
        <v>46201</v>
      </c>
      <c r="M31" s="40" t="s">
        <v>79</v>
      </c>
      <c r="N31" s="40" t="s">
        <v>124</v>
      </c>
      <c r="O31" s="40" t="s">
        <v>29</v>
      </c>
      <c r="P31" s="40" t="s">
        <v>125</v>
      </c>
    </row>
    <row r="32" spans="1:16" ht="191.15" customHeight="1">
      <c r="A32" s="55" t="s">
        <v>120</v>
      </c>
      <c r="B32" s="50" t="s">
        <v>97</v>
      </c>
      <c r="C32" s="48" t="s">
        <v>18</v>
      </c>
      <c r="D32" s="44" t="s">
        <v>121</v>
      </c>
      <c r="E32" s="44" t="s">
        <v>127</v>
      </c>
      <c r="F32" s="53" t="s">
        <v>38</v>
      </c>
      <c r="G32" s="51">
        <v>830000</v>
      </c>
      <c r="H32" s="46">
        <v>808</v>
      </c>
      <c r="I32" s="46">
        <v>810</v>
      </c>
      <c r="J32" s="47" t="s">
        <v>123</v>
      </c>
      <c r="K32" s="40">
        <v>46027</v>
      </c>
      <c r="L32" s="40">
        <v>46201</v>
      </c>
      <c r="M32" s="40" t="s">
        <v>27</v>
      </c>
      <c r="N32" s="40" t="s">
        <v>124</v>
      </c>
      <c r="O32" s="40" t="s">
        <v>81</v>
      </c>
      <c r="P32" s="40" t="s">
        <v>125</v>
      </c>
    </row>
    <row r="33" spans="1:16" ht="50">
      <c r="A33" s="55" t="s">
        <v>120</v>
      </c>
      <c r="B33" s="50" t="s">
        <v>97</v>
      </c>
      <c r="C33" s="48" t="s">
        <v>18</v>
      </c>
      <c r="D33" s="44" t="s">
        <v>121</v>
      </c>
      <c r="E33" s="44" t="s">
        <v>128</v>
      </c>
      <c r="F33" s="53" t="s">
        <v>38</v>
      </c>
      <c r="G33" s="51">
        <v>830000</v>
      </c>
      <c r="H33" s="46">
        <v>808</v>
      </c>
      <c r="I33" s="46">
        <v>810</v>
      </c>
      <c r="J33" s="47" t="s">
        <v>123</v>
      </c>
      <c r="K33" s="40">
        <v>46027</v>
      </c>
      <c r="L33" s="40">
        <v>46201</v>
      </c>
      <c r="M33" s="40" t="s">
        <v>83</v>
      </c>
      <c r="N33" s="40" t="s">
        <v>124</v>
      </c>
      <c r="O33" s="40" t="s">
        <v>84</v>
      </c>
      <c r="P33" s="40" t="s">
        <v>125</v>
      </c>
    </row>
    <row r="34" spans="1:16" ht="50">
      <c r="A34" s="55" t="s">
        <v>120</v>
      </c>
      <c r="B34" s="50" t="s">
        <v>97</v>
      </c>
      <c r="C34" s="48" t="s">
        <v>18</v>
      </c>
      <c r="D34" s="44" t="s">
        <v>121</v>
      </c>
      <c r="E34" s="44" t="s">
        <v>129</v>
      </c>
      <c r="F34" s="53" t="s">
        <v>38</v>
      </c>
      <c r="G34" s="51">
        <v>830000</v>
      </c>
      <c r="H34" s="46">
        <v>808</v>
      </c>
      <c r="I34" s="46">
        <v>810</v>
      </c>
      <c r="J34" s="47" t="s">
        <v>123</v>
      </c>
      <c r="K34" s="40">
        <v>46027</v>
      </c>
      <c r="L34" s="40">
        <v>46201</v>
      </c>
      <c r="M34" s="40" t="s">
        <v>45</v>
      </c>
      <c r="N34" s="40" t="s">
        <v>124</v>
      </c>
      <c r="O34" s="40" t="s">
        <v>47</v>
      </c>
      <c r="P34" s="40" t="s">
        <v>125</v>
      </c>
    </row>
    <row r="35" spans="1:16" ht="37.5">
      <c r="A35" s="41" t="s">
        <v>130</v>
      </c>
      <c r="B35" s="50" t="s">
        <v>131</v>
      </c>
      <c r="C35" s="48" t="s">
        <v>18</v>
      </c>
      <c r="D35" s="44" t="s">
        <v>132</v>
      </c>
      <c r="E35" s="44" t="s">
        <v>133</v>
      </c>
      <c r="F35" s="53" t="s">
        <v>21</v>
      </c>
      <c r="G35" s="51">
        <v>340000</v>
      </c>
      <c r="H35" s="46">
        <v>136</v>
      </c>
      <c r="I35" s="46">
        <v>137</v>
      </c>
      <c r="J35" s="47" t="s">
        <v>134</v>
      </c>
      <c r="K35" s="40">
        <v>46041</v>
      </c>
      <c r="L35" s="40">
        <v>46067</v>
      </c>
      <c r="M35" s="40" t="s">
        <v>74</v>
      </c>
      <c r="N35" s="40" t="s">
        <v>101</v>
      </c>
      <c r="O35" s="40" t="s">
        <v>76</v>
      </c>
      <c r="P35" s="40" t="s">
        <v>135</v>
      </c>
    </row>
    <row r="36" spans="1:16" ht="50">
      <c r="A36" s="41" t="s">
        <v>130</v>
      </c>
      <c r="B36" s="50" t="s">
        <v>131</v>
      </c>
      <c r="C36" s="48" t="s">
        <v>18</v>
      </c>
      <c r="D36" s="44" t="s">
        <v>132</v>
      </c>
      <c r="E36" s="44" t="s">
        <v>136</v>
      </c>
      <c r="F36" s="53" t="s">
        <v>21</v>
      </c>
      <c r="G36" s="51">
        <v>340000</v>
      </c>
      <c r="H36" s="46">
        <v>136</v>
      </c>
      <c r="I36" s="46">
        <v>137</v>
      </c>
      <c r="J36" s="47" t="s">
        <v>134</v>
      </c>
      <c r="K36" s="40">
        <v>46041</v>
      </c>
      <c r="L36" s="40">
        <v>46067</v>
      </c>
      <c r="M36" s="40" t="s">
        <v>79</v>
      </c>
      <c r="N36" s="40" t="s">
        <v>101</v>
      </c>
      <c r="O36" s="40" t="s">
        <v>29</v>
      </c>
      <c r="P36" s="40" t="s">
        <v>135</v>
      </c>
    </row>
    <row r="37" spans="1:16" ht="37.5">
      <c r="A37" s="41" t="s">
        <v>130</v>
      </c>
      <c r="B37" s="50" t="s">
        <v>131</v>
      </c>
      <c r="C37" s="48" t="s">
        <v>18</v>
      </c>
      <c r="D37" s="44" t="s">
        <v>132</v>
      </c>
      <c r="E37" s="44" t="s">
        <v>137</v>
      </c>
      <c r="F37" s="53" t="s">
        <v>21</v>
      </c>
      <c r="G37" s="51">
        <v>340000</v>
      </c>
      <c r="H37" s="46">
        <v>136</v>
      </c>
      <c r="I37" s="46">
        <v>137</v>
      </c>
      <c r="J37" s="47" t="s">
        <v>134</v>
      </c>
      <c r="K37" s="40">
        <v>46041</v>
      </c>
      <c r="L37" s="40">
        <v>46067</v>
      </c>
      <c r="M37" s="40" t="s">
        <v>27</v>
      </c>
      <c r="N37" s="40" t="s">
        <v>101</v>
      </c>
      <c r="O37" s="40" t="s">
        <v>81</v>
      </c>
      <c r="P37" s="40" t="s">
        <v>135</v>
      </c>
    </row>
    <row r="38" spans="1:16" ht="50">
      <c r="A38" s="41" t="s">
        <v>130</v>
      </c>
      <c r="B38" s="50" t="s">
        <v>131</v>
      </c>
      <c r="C38" s="48" t="s">
        <v>18</v>
      </c>
      <c r="D38" s="44" t="s">
        <v>132</v>
      </c>
      <c r="E38" s="44" t="s">
        <v>138</v>
      </c>
      <c r="F38" s="53" t="s">
        <v>21</v>
      </c>
      <c r="G38" s="51">
        <v>340000</v>
      </c>
      <c r="H38" s="46">
        <v>136</v>
      </c>
      <c r="I38" s="46">
        <v>137</v>
      </c>
      <c r="J38" s="47" t="s">
        <v>134</v>
      </c>
      <c r="K38" s="40">
        <v>46041</v>
      </c>
      <c r="L38" s="40">
        <v>46067</v>
      </c>
      <c r="M38" s="40" t="s">
        <v>83</v>
      </c>
      <c r="N38" s="40" t="s">
        <v>101</v>
      </c>
      <c r="O38" s="40" t="s">
        <v>84</v>
      </c>
      <c r="P38" s="40" t="s">
        <v>135</v>
      </c>
    </row>
    <row r="39" spans="1:16" ht="50">
      <c r="A39" s="41" t="s">
        <v>130</v>
      </c>
      <c r="B39" s="50" t="s">
        <v>131</v>
      </c>
      <c r="C39" s="48" t="s">
        <v>18</v>
      </c>
      <c r="D39" s="44" t="s">
        <v>132</v>
      </c>
      <c r="E39" s="44" t="s">
        <v>139</v>
      </c>
      <c r="F39" s="53" t="s">
        <v>21</v>
      </c>
      <c r="G39" s="51">
        <v>340000</v>
      </c>
      <c r="H39" s="46">
        <v>136</v>
      </c>
      <c r="I39" s="46">
        <v>137</v>
      </c>
      <c r="J39" s="47" t="s">
        <v>134</v>
      </c>
      <c r="K39" s="40">
        <v>46041</v>
      </c>
      <c r="L39" s="40">
        <v>46067</v>
      </c>
      <c r="M39" s="40" t="s">
        <v>45</v>
      </c>
      <c r="N39" s="40" t="s">
        <v>101</v>
      </c>
      <c r="O39" s="40" t="s">
        <v>47</v>
      </c>
      <c r="P39" s="40" t="s">
        <v>135</v>
      </c>
    </row>
    <row r="40" spans="1:16" ht="65">
      <c r="A40" s="55" t="s">
        <v>140</v>
      </c>
      <c r="B40" s="50" t="s">
        <v>141</v>
      </c>
      <c r="C40" s="48" t="s">
        <v>88</v>
      </c>
      <c r="D40" s="44" t="s">
        <v>142</v>
      </c>
      <c r="E40" s="44" t="s">
        <v>143</v>
      </c>
      <c r="F40" s="53" t="s">
        <v>21</v>
      </c>
      <c r="G40" s="51">
        <v>140000</v>
      </c>
      <c r="H40" s="46">
        <v>143</v>
      </c>
      <c r="I40" s="46">
        <v>153</v>
      </c>
      <c r="J40" s="47" t="s">
        <v>144</v>
      </c>
      <c r="K40" s="40">
        <v>46028</v>
      </c>
      <c r="L40" s="40">
        <v>46032</v>
      </c>
      <c r="M40" s="40" t="s">
        <v>74</v>
      </c>
      <c r="N40" s="40" t="s">
        <v>145</v>
      </c>
      <c r="O40" s="40" t="s">
        <v>76</v>
      </c>
      <c r="P40" s="40" t="s">
        <v>119</v>
      </c>
    </row>
    <row r="41" spans="1:16" ht="65">
      <c r="A41" s="55" t="s">
        <v>140</v>
      </c>
      <c r="B41" s="50" t="s">
        <v>141</v>
      </c>
      <c r="C41" s="48" t="s">
        <v>88</v>
      </c>
      <c r="D41" s="44" t="s">
        <v>142</v>
      </c>
      <c r="E41" s="44" t="s">
        <v>146</v>
      </c>
      <c r="F41" s="53" t="s">
        <v>21</v>
      </c>
      <c r="G41" s="51">
        <v>140000</v>
      </c>
      <c r="H41" s="46">
        <v>143</v>
      </c>
      <c r="I41" s="46">
        <v>153</v>
      </c>
      <c r="J41" s="47" t="s">
        <v>144</v>
      </c>
      <c r="K41" s="40">
        <v>46028</v>
      </c>
      <c r="L41" s="40">
        <v>46032</v>
      </c>
      <c r="M41" s="40" t="s">
        <v>79</v>
      </c>
      <c r="N41" s="40" t="s">
        <v>145</v>
      </c>
      <c r="O41" s="40" t="s">
        <v>29</v>
      </c>
      <c r="P41" s="40" t="s">
        <v>119</v>
      </c>
    </row>
    <row r="42" spans="1:16" ht="65">
      <c r="A42" s="55" t="s">
        <v>140</v>
      </c>
      <c r="B42" s="50" t="s">
        <v>141</v>
      </c>
      <c r="C42" s="48" t="s">
        <v>88</v>
      </c>
      <c r="D42" s="44" t="s">
        <v>142</v>
      </c>
      <c r="E42" s="44" t="s">
        <v>147</v>
      </c>
      <c r="F42" s="53" t="s">
        <v>21</v>
      </c>
      <c r="G42" s="51">
        <v>140000</v>
      </c>
      <c r="H42" s="46">
        <v>143</v>
      </c>
      <c r="I42" s="46">
        <v>153</v>
      </c>
      <c r="J42" s="47" t="s">
        <v>144</v>
      </c>
      <c r="K42" s="40">
        <v>46028</v>
      </c>
      <c r="L42" s="40">
        <v>46032</v>
      </c>
      <c r="M42" s="40" t="s">
        <v>27</v>
      </c>
      <c r="N42" s="40" t="s">
        <v>145</v>
      </c>
      <c r="O42" s="40" t="s">
        <v>81</v>
      </c>
      <c r="P42" s="40" t="s">
        <v>119</v>
      </c>
    </row>
    <row r="43" spans="1:16" ht="65">
      <c r="A43" s="55" t="s">
        <v>140</v>
      </c>
      <c r="B43" s="50" t="s">
        <v>141</v>
      </c>
      <c r="C43" s="48" t="s">
        <v>88</v>
      </c>
      <c r="D43" s="44" t="s">
        <v>142</v>
      </c>
      <c r="E43" s="44" t="s">
        <v>148</v>
      </c>
      <c r="F43" s="53" t="s">
        <v>21</v>
      </c>
      <c r="G43" s="51">
        <v>140000</v>
      </c>
      <c r="H43" s="46">
        <v>143</v>
      </c>
      <c r="I43" s="46">
        <v>153</v>
      </c>
      <c r="J43" s="47" t="s">
        <v>144</v>
      </c>
      <c r="K43" s="40">
        <v>46028</v>
      </c>
      <c r="L43" s="40">
        <v>46032</v>
      </c>
      <c r="M43" s="40" t="s">
        <v>83</v>
      </c>
      <c r="N43" s="40" t="s">
        <v>145</v>
      </c>
      <c r="O43" s="40" t="s">
        <v>84</v>
      </c>
      <c r="P43" s="40" t="s">
        <v>119</v>
      </c>
    </row>
    <row r="44" spans="1:16" ht="65">
      <c r="A44" s="55" t="s">
        <v>140</v>
      </c>
      <c r="B44" s="50" t="s">
        <v>141</v>
      </c>
      <c r="C44" s="48" t="s">
        <v>88</v>
      </c>
      <c r="D44" s="44" t="s">
        <v>142</v>
      </c>
      <c r="E44" s="44" t="s">
        <v>149</v>
      </c>
      <c r="F44" s="53" t="s">
        <v>21</v>
      </c>
      <c r="G44" s="51">
        <v>140000</v>
      </c>
      <c r="H44" s="46">
        <v>143</v>
      </c>
      <c r="I44" s="46">
        <v>153</v>
      </c>
      <c r="J44" s="47" t="s">
        <v>144</v>
      </c>
      <c r="K44" s="40">
        <v>46028</v>
      </c>
      <c r="L44" s="40">
        <v>46032</v>
      </c>
      <c r="M44" s="40" t="s">
        <v>45</v>
      </c>
      <c r="N44" s="40" t="s">
        <v>145</v>
      </c>
      <c r="O44" s="40" t="s">
        <v>47</v>
      </c>
      <c r="P44" s="40" t="s">
        <v>119</v>
      </c>
    </row>
    <row r="45" spans="1:16" ht="196">
      <c r="A45" s="41" t="s">
        <v>150</v>
      </c>
      <c r="B45" s="50" t="s">
        <v>151</v>
      </c>
      <c r="C45" s="48" t="s">
        <v>88</v>
      </c>
      <c r="D45" s="44" t="s">
        <v>152</v>
      </c>
      <c r="E45" s="56" t="s">
        <v>153</v>
      </c>
      <c r="F45" s="53" t="s">
        <v>21</v>
      </c>
      <c r="G45" s="51">
        <v>752000</v>
      </c>
      <c r="H45" s="46">
        <v>329</v>
      </c>
      <c r="I45" s="46">
        <v>340</v>
      </c>
      <c r="J45" s="47" t="s">
        <v>154</v>
      </c>
      <c r="K45" s="40">
        <v>46027</v>
      </c>
      <c r="L45" s="40">
        <v>46046</v>
      </c>
      <c r="M45" s="40" t="s">
        <v>74</v>
      </c>
      <c r="N45" s="40" t="s">
        <v>155</v>
      </c>
      <c r="O45" s="40" t="s">
        <v>76</v>
      </c>
      <c r="P45" s="40" t="s">
        <v>156</v>
      </c>
    </row>
    <row r="46" spans="1:16" ht="196">
      <c r="A46" s="41" t="s">
        <v>150</v>
      </c>
      <c r="B46" s="50" t="s">
        <v>151</v>
      </c>
      <c r="C46" s="48" t="s">
        <v>88</v>
      </c>
      <c r="D46" s="44" t="s">
        <v>152</v>
      </c>
      <c r="E46" s="56" t="s">
        <v>157</v>
      </c>
      <c r="F46" s="53" t="s">
        <v>21</v>
      </c>
      <c r="G46" s="51">
        <v>752000</v>
      </c>
      <c r="H46" s="46">
        <v>329</v>
      </c>
      <c r="I46" s="46">
        <v>340</v>
      </c>
      <c r="J46" s="47" t="s">
        <v>154</v>
      </c>
      <c r="K46" s="40">
        <v>46027</v>
      </c>
      <c r="L46" s="40">
        <v>46046</v>
      </c>
      <c r="M46" s="40" t="s">
        <v>79</v>
      </c>
      <c r="N46" s="40" t="s">
        <v>155</v>
      </c>
      <c r="O46" s="40" t="s">
        <v>29</v>
      </c>
      <c r="P46" s="40" t="s">
        <v>156</v>
      </c>
    </row>
    <row r="47" spans="1:16" ht="196">
      <c r="A47" s="41" t="s">
        <v>150</v>
      </c>
      <c r="B47" s="50" t="s">
        <v>151</v>
      </c>
      <c r="C47" s="48" t="s">
        <v>88</v>
      </c>
      <c r="D47" s="44" t="s">
        <v>152</v>
      </c>
      <c r="E47" s="56" t="s">
        <v>158</v>
      </c>
      <c r="F47" s="53" t="s">
        <v>21</v>
      </c>
      <c r="G47" s="51">
        <v>752000</v>
      </c>
      <c r="H47" s="46">
        <v>329</v>
      </c>
      <c r="I47" s="46">
        <v>340</v>
      </c>
      <c r="J47" s="47" t="s">
        <v>154</v>
      </c>
      <c r="K47" s="40">
        <v>46027</v>
      </c>
      <c r="L47" s="40">
        <v>46046</v>
      </c>
      <c r="M47" s="40" t="s">
        <v>27</v>
      </c>
      <c r="N47" s="40" t="s">
        <v>155</v>
      </c>
      <c r="O47" s="40" t="s">
        <v>81</v>
      </c>
      <c r="P47" s="40" t="s">
        <v>156</v>
      </c>
    </row>
    <row r="48" spans="1:16" ht="196">
      <c r="A48" s="41" t="s">
        <v>150</v>
      </c>
      <c r="B48" s="50" t="s">
        <v>151</v>
      </c>
      <c r="C48" s="48" t="s">
        <v>88</v>
      </c>
      <c r="D48" s="44" t="s">
        <v>152</v>
      </c>
      <c r="E48" s="56" t="s">
        <v>159</v>
      </c>
      <c r="F48" s="53" t="s">
        <v>21</v>
      </c>
      <c r="G48" s="51">
        <v>752000</v>
      </c>
      <c r="H48" s="46">
        <v>329</v>
      </c>
      <c r="I48" s="46">
        <v>340</v>
      </c>
      <c r="J48" s="47" t="s">
        <v>154</v>
      </c>
      <c r="K48" s="40">
        <v>46027</v>
      </c>
      <c r="L48" s="40">
        <v>46046</v>
      </c>
      <c r="M48" s="40" t="s">
        <v>83</v>
      </c>
      <c r="N48" s="40" t="s">
        <v>155</v>
      </c>
      <c r="O48" s="40" t="s">
        <v>84</v>
      </c>
      <c r="P48" s="40" t="s">
        <v>156</v>
      </c>
    </row>
    <row r="49" spans="1:16" ht="196">
      <c r="A49" s="41" t="s">
        <v>150</v>
      </c>
      <c r="B49" s="50" t="s">
        <v>151</v>
      </c>
      <c r="C49" s="48" t="s">
        <v>88</v>
      </c>
      <c r="D49" s="44" t="s">
        <v>152</v>
      </c>
      <c r="E49" s="56" t="s">
        <v>160</v>
      </c>
      <c r="F49" s="53" t="s">
        <v>21</v>
      </c>
      <c r="G49" s="51">
        <v>752000</v>
      </c>
      <c r="H49" s="46">
        <v>329</v>
      </c>
      <c r="I49" s="46">
        <v>340</v>
      </c>
      <c r="J49" s="47" t="s">
        <v>154</v>
      </c>
      <c r="K49" s="40">
        <v>46027</v>
      </c>
      <c r="L49" s="40">
        <v>46046</v>
      </c>
      <c r="M49" s="40" t="s">
        <v>45</v>
      </c>
      <c r="N49" s="40" t="s">
        <v>161</v>
      </c>
      <c r="O49" s="40" t="s">
        <v>47</v>
      </c>
      <c r="P49" s="40" t="s">
        <v>156</v>
      </c>
    </row>
    <row r="50" spans="1:16" ht="196">
      <c r="A50" s="41" t="s">
        <v>150</v>
      </c>
      <c r="B50" s="50" t="s">
        <v>151</v>
      </c>
      <c r="C50" s="48" t="s">
        <v>88</v>
      </c>
      <c r="D50" s="44" t="s">
        <v>152</v>
      </c>
      <c r="E50" s="56" t="s">
        <v>162</v>
      </c>
      <c r="F50" s="53" t="s">
        <v>21</v>
      </c>
      <c r="G50" s="51">
        <v>752000</v>
      </c>
      <c r="H50" s="46">
        <v>329</v>
      </c>
      <c r="I50" s="46">
        <v>340</v>
      </c>
      <c r="J50" s="47" t="s">
        <v>154</v>
      </c>
      <c r="K50" s="40">
        <v>46027</v>
      </c>
      <c r="L50" s="40">
        <v>46046</v>
      </c>
      <c r="M50" s="40"/>
      <c r="N50" s="40"/>
      <c r="O50" s="40"/>
      <c r="P50" s="40"/>
    </row>
    <row r="51" spans="1:16" ht="196">
      <c r="A51" s="41" t="s">
        <v>150</v>
      </c>
      <c r="B51" s="50" t="s">
        <v>151</v>
      </c>
      <c r="C51" s="48" t="s">
        <v>88</v>
      </c>
      <c r="D51" s="44" t="s">
        <v>152</v>
      </c>
      <c r="E51" s="56" t="s">
        <v>163</v>
      </c>
      <c r="F51" s="53" t="s">
        <v>21</v>
      </c>
      <c r="G51" s="51">
        <v>752000</v>
      </c>
      <c r="H51" s="46">
        <v>329</v>
      </c>
      <c r="I51" s="46">
        <v>340</v>
      </c>
      <c r="J51" s="47" t="s">
        <v>154</v>
      </c>
      <c r="K51" s="40">
        <v>46027</v>
      </c>
      <c r="L51" s="40">
        <v>46046</v>
      </c>
      <c r="M51" s="40"/>
      <c r="N51" s="40"/>
      <c r="O51" s="40"/>
      <c r="P51" s="40"/>
    </row>
    <row r="52" spans="1:16" ht="196">
      <c r="A52" s="41" t="s">
        <v>150</v>
      </c>
      <c r="B52" s="50" t="s">
        <v>151</v>
      </c>
      <c r="C52" s="48" t="s">
        <v>88</v>
      </c>
      <c r="D52" s="44" t="s">
        <v>152</v>
      </c>
      <c r="E52" s="56" t="s">
        <v>164</v>
      </c>
      <c r="F52" s="53" t="s">
        <v>21</v>
      </c>
      <c r="G52" s="51">
        <v>752000</v>
      </c>
      <c r="H52" s="46">
        <v>329</v>
      </c>
      <c r="I52" s="46">
        <v>340</v>
      </c>
      <c r="J52" s="47" t="s">
        <v>154</v>
      </c>
      <c r="K52" s="40">
        <v>46027</v>
      </c>
      <c r="L52" s="40">
        <v>46046</v>
      </c>
      <c r="M52" s="40"/>
      <c r="N52" s="40"/>
      <c r="O52" s="40"/>
      <c r="P52" s="40"/>
    </row>
    <row r="53" spans="1:16" ht="196">
      <c r="A53" s="41" t="s">
        <v>150</v>
      </c>
      <c r="B53" s="50" t="s">
        <v>151</v>
      </c>
      <c r="C53" s="48" t="s">
        <v>88</v>
      </c>
      <c r="D53" s="44" t="s">
        <v>152</v>
      </c>
      <c r="E53" s="56" t="s">
        <v>165</v>
      </c>
      <c r="F53" s="53" t="s">
        <v>21</v>
      </c>
      <c r="G53" s="51">
        <v>752000</v>
      </c>
      <c r="H53" s="46">
        <v>329</v>
      </c>
      <c r="I53" s="46">
        <v>340</v>
      </c>
      <c r="J53" s="47" t="s">
        <v>154</v>
      </c>
      <c r="K53" s="40">
        <v>46027</v>
      </c>
      <c r="L53" s="40">
        <v>46046</v>
      </c>
      <c r="M53" s="40"/>
      <c r="N53" s="40"/>
      <c r="O53" s="40"/>
      <c r="P53" s="40"/>
    </row>
    <row r="54" spans="1:16" ht="52">
      <c r="A54" s="55" t="s">
        <v>166</v>
      </c>
      <c r="B54" s="50" t="s">
        <v>167</v>
      </c>
      <c r="C54" s="57" t="s">
        <v>55</v>
      </c>
      <c r="D54" s="44" t="s">
        <v>168</v>
      </c>
      <c r="E54" s="18" t="s">
        <v>169</v>
      </c>
      <c r="F54" s="58" t="s">
        <v>38</v>
      </c>
      <c r="G54" s="51"/>
      <c r="H54" s="46"/>
      <c r="I54" s="46"/>
      <c r="J54" s="47" t="s">
        <v>170</v>
      </c>
      <c r="K54" s="40">
        <v>46027</v>
      </c>
      <c r="L54" s="40">
        <v>46033</v>
      </c>
      <c r="M54" s="40" t="s">
        <v>74</v>
      </c>
      <c r="N54" s="40" t="s">
        <v>171</v>
      </c>
      <c r="O54" s="40" t="s">
        <v>76</v>
      </c>
      <c r="P54" s="40" t="s">
        <v>135</v>
      </c>
    </row>
    <row r="55" spans="1:16" ht="52">
      <c r="A55" s="55" t="s">
        <v>166</v>
      </c>
      <c r="B55" s="50" t="s">
        <v>167</v>
      </c>
      <c r="C55" s="57" t="s">
        <v>55</v>
      </c>
      <c r="D55" s="44" t="s">
        <v>168</v>
      </c>
      <c r="E55" s="18" t="s">
        <v>172</v>
      </c>
      <c r="F55" s="58" t="s">
        <v>38</v>
      </c>
      <c r="G55" s="51"/>
      <c r="H55" s="46"/>
      <c r="I55" s="46"/>
      <c r="J55" s="47" t="s">
        <v>170</v>
      </c>
      <c r="K55" s="40">
        <v>46027</v>
      </c>
      <c r="L55" s="40">
        <v>46033</v>
      </c>
      <c r="M55" s="40" t="s">
        <v>79</v>
      </c>
      <c r="N55" s="40" t="s">
        <v>171</v>
      </c>
      <c r="O55" s="40" t="s">
        <v>29</v>
      </c>
      <c r="P55" s="40" t="s">
        <v>135</v>
      </c>
    </row>
    <row r="56" spans="1:16" ht="52">
      <c r="A56" s="55" t="s">
        <v>166</v>
      </c>
      <c r="B56" s="50" t="s">
        <v>167</v>
      </c>
      <c r="C56" s="57" t="s">
        <v>55</v>
      </c>
      <c r="D56" s="44" t="s">
        <v>168</v>
      </c>
      <c r="E56" s="18" t="s">
        <v>173</v>
      </c>
      <c r="F56" s="58" t="s">
        <v>38</v>
      </c>
      <c r="G56" s="51"/>
      <c r="H56" s="46"/>
      <c r="I56" s="46"/>
      <c r="J56" s="47" t="s">
        <v>170</v>
      </c>
      <c r="K56" s="40">
        <v>46027</v>
      </c>
      <c r="L56" s="40">
        <v>46033</v>
      </c>
      <c r="M56" s="40" t="s">
        <v>27</v>
      </c>
      <c r="N56" s="40" t="s">
        <v>171</v>
      </c>
      <c r="O56" s="40" t="s">
        <v>81</v>
      </c>
      <c r="P56" s="40" t="s">
        <v>135</v>
      </c>
    </row>
    <row r="57" spans="1:16" ht="52">
      <c r="A57" s="55" t="s">
        <v>166</v>
      </c>
      <c r="B57" s="50" t="s">
        <v>167</v>
      </c>
      <c r="C57" s="57" t="s">
        <v>55</v>
      </c>
      <c r="D57" s="44" t="s">
        <v>168</v>
      </c>
      <c r="E57" s="18" t="s">
        <v>174</v>
      </c>
      <c r="F57" s="58" t="s">
        <v>38</v>
      </c>
      <c r="G57" s="51"/>
      <c r="H57" s="46"/>
      <c r="I57" s="46"/>
      <c r="J57" s="47" t="s">
        <v>170</v>
      </c>
      <c r="K57" s="40">
        <v>46027</v>
      </c>
      <c r="L57" s="40">
        <v>46033</v>
      </c>
      <c r="M57" s="40" t="s">
        <v>83</v>
      </c>
      <c r="N57" s="40" t="s">
        <v>171</v>
      </c>
      <c r="O57" s="40" t="s">
        <v>84</v>
      </c>
      <c r="P57" s="40" t="s">
        <v>135</v>
      </c>
    </row>
    <row r="58" spans="1:16" ht="52">
      <c r="A58" s="55" t="s">
        <v>166</v>
      </c>
      <c r="B58" s="50" t="s">
        <v>167</v>
      </c>
      <c r="C58" s="57" t="s">
        <v>55</v>
      </c>
      <c r="D58" s="44" t="s">
        <v>168</v>
      </c>
      <c r="E58" s="18" t="s">
        <v>175</v>
      </c>
      <c r="F58" s="58" t="s">
        <v>38</v>
      </c>
      <c r="G58" s="51"/>
      <c r="H58" s="46"/>
      <c r="I58" s="46"/>
      <c r="J58" s="47" t="s">
        <v>170</v>
      </c>
      <c r="K58" s="40">
        <v>46027</v>
      </c>
      <c r="L58" s="40">
        <v>46033</v>
      </c>
      <c r="M58" s="40" t="s">
        <v>45</v>
      </c>
      <c r="N58" s="40" t="s">
        <v>171</v>
      </c>
      <c r="O58" s="40" t="s">
        <v>47</v>
      </c>
      <c r="P58" s="40" t="s">
        <v>135</v>
      </c>
    </row>
    <row r="59" spans="1:16" ht="52">
      <c r="A59" s="55" t="s">
        <v>166</v>
      </c>
      <c r="B59" s="50" t="s">
        <v>167</v>
      </c>
      <c r="C59" s="57" t="s">
        <v>55</v>
      </c>
      <c r="D59" s="44" t="s">
        <v>168</v>
      </c>
      <c r="E59" s="18" t="s">
        <v>176</v>
      </c>
      <c r="F59" s="58" t="s">
        <v>38</v>
      </c>
      <c r="G59" s="51"/>
      <c r="H59" s="46"/>
      <c r="I59" s="46"/>
      <c r="J59" s="47" t="s">
        <v>170</v>
      </c>
      <c r="K59" s="40">
        <v>46027</v>
      </c>
      <c r="L59" s="40">
        <v>46033</v>
      </c>
      <c r="M59" s="40" t="s">
        <v>39</v>
      </c>
      <c r="N59" s="40" t="s">
        <v>171</v>
      </c>
      <c r="O59" s="40" t="s">
        <v>41</v>
      </c>
      <c r="P59" s="40" t="s">
        <v>135</v>
      </c>
    </row>
    <row r="60" spans="1:16" ht="52">
      <c r="A60" s="55" t="s">
        <v>166</v>
      </c>
      <c r="B60" s="50" t="s">
        <v>167</v>
      </c>
      <c r="C60" s="57" t="s">
        <v>55</v>
      </c>
      <c r="D60" s="44" t="s">
        <v>168</v>
      </c>
      <c r="E60" s="18" t="s">
        <v>177</v>
      </c>
      <c r="F60" s="58" t="s">
        <v>38</v>
      </c>
      <c r="G60" s="51"/>
      <c r="H60" s="46"/>
      <c r="I60" s="46"/>
      <c r="J60" s="47" t="s">
        <v>170</v>
      </c>
      <c r="K60" s="40">
        <v>46027</v>
      </c>
      <c r="L60" s="40">
        <v>46033</v>
      </c>
      <c r="M60" s="40" t="s">
        <v>116</v>
      </c>
      <c r="N60" s="40" t="s">
        <v>171</v>
      </c>
      <c r="O60" s="40" t="s">
        <v>118</v>
      </c>
      <c r="P60" s="40" t="s">
        <v>135</v>
      </c>
    </row>
    <row r="61" spans="1:16" ht="50">
      <c r="A61" s="55" t="s">
        <v>178</v>
      </c>
      <c r="B61" s="50" t="s">
        <v>167</v>
      </c>
      <c r="C61" s="48" t="s">
        <v>88</v>
      </c>
      <c r="D61" s="44" t="s">
        <v>179</v>
      </c>
      <c r="E61" s="44" t="s">
        <v>180</v>
      </c>
      <c r="F61" s="53" t="s">
        <v>38</v>
      </c>
      <c r="G61" s="51">
        <v>226310</v>
      </c>
      <c r="H61" s="46">
        <v>9</v>
      </c>
      <c r="I61" s="46">
        <v>17</v>
      </c>
      <c r="J61" s="47" t="s">
        <v>181</v>
      </c>
      <c r="K61" s="40">
        <v>46032</v>
      </c>
      <c r="L61" s="40">
        <v>46034</v>
      </c>
      <c r="M61" s="40" t="s">
        <v>39</v>
      </c>
      <c r="N61" s="40" t="s">
        <v>182</v>
      </c>
      <c r="O61" s="40" t="s">
        <v>41</v>
      </c>
      <c r="P61" s="40" t="s">
        <v>183</v>
      </c>
    </row>
    <row r="62" spans="1:16" ht="46.5">
      <c r="A62" s="55" t="s">
        <v>178</v>
      </c>
      <c r="B62" s="50" t="s">
        <v>167</v>
      </c>
      <c r="C62" s="48" t="s">
        <v>88</v>
      </c>
      <c r="D62" s="44" t="s">
        <v>179</v>
      </c>
      <c r="E62" s="44" t="s">
        <v>184</v>
      </c>
      <c r="F62" s="53" t="s">
        <v>38</v>
      </c>
      <c r="G62" s="51">
        <v>226310</v>
      </c>
      <c r="H62" s="46">
        <v>9</v>
      </c>
      <c r="I62" s="46">
        <v>17</v>
      </c>
      <c r="J62" s="47" t="s">
        <v>181</v>
      </c>
      <c r="K62" s="40">
        <v>46032</v>
      </c>
      <c r="L62" s="40">
        <v>46034</v>
      </c>
      <c r="M62" s="40" t="s">
        <v>116</v>
      </c>
      <c r="N62" s="40" t="s">
        <v>185</v>
      </c>
      <c r="O62" s="40" t="s">
        <v>118</v>
      </c>
      <c r="P62" s="40" t="s">
        <v>183</v>
      </c>
    </row>
    <row r="63" spans="1:16" ht="37.5">
      <c r="A63" s="41" t="s">
        <v>186</v>
      </c>
      <c r="B63" s="50" t="s">
        <v>35</v>
      </c>
      <c r="C63" s="48" t="s">
        <v>88</v>
      </c>
      <c r="D63" s="44" t="s">
        <v>187</v>
      </c>
      <c r="E63" s="44" t="s">
        <v>188</v>
      </c>
      <c r="F63" s="53" t="s">
        <v>38</v>
      </c>
      <c r="G63" s="51">
        <v>746000</v>
      </c>
      <c r="H63" s="46">
        <v>58.914000000000001</v>
      </c>
      <c r="I63" s="46">
        <v>92.325999999999993</v>
      </c>
      <c r="J63" s="47"/>
      <c r="K63" s="40">
        <v>45992</v>
      </c>
      <c r="L63" s="40">
        <v>46088</v>
      </c>
      <c r="M63" s="40" t="s">
        <v>74</v>
      </c>
      <c r="N63" s="40" t="s">
        <v>189</v>
      </c>
      <c r="O63" s="40" t="s">
        <v>76</v>
      </c>
      <c r="P63" s="40" t="s">
        <v>135</v>
      </c>
    </row>
    <row r="64" spans="1:16" ht="50">
      <c r="A64" s="41" t="s">
        <v>186</v>
      </c>
      <c r="B64" s="50" t="s">
        <v>35</v>
      </c>
      <c r="C64" s="48" t="s">
        <v>88</v>
      </c>
      <c r="D64" s="44" t="s">
        <v>187</v>
      </c>
      <c r="E64" s="44" t="s">
        <v>190</v>
      </c>
      <c r="F64" s="53" t="s">
        <v>38</v>
      </c>
      <c r="G64" s="51">
        <v>746000</v>
      </c>
      <c r="H64" s="46">
        <v>58.914000000000001</v>
      </c>
      <c r="I64" s="46">
        <v>92.325999999999993</v>
      </c>
      <c r="J64" s="47"/>
      <c r="K64" s="40">
        <v>45992</v>
      </c>
      <c r="L64" s="40">
        <v>46088</v>
      </c>
      <c r="M64" s="40" t="s">
        <v>79</v>
      </c>
      <c r="N64" s="40" t="s">
        <v>189</v>
      </c>
      <c r="O64" s="40" t="s">
        <v>29</v>
      </c>
      <c r="P64" s="40" t="s">
        <v>135</v>
      </c>
    </row>
    <row r="65" spans="1:16" ht="37.5">
      <c r="A65" s="41" t="s">
        <v>186</v>
      </c>
      <c r="B65" s="50" t="s">
        <v>35</v>
      </c>
      <c r="C65" s="48" t="s">
        <v>88</v>
      </c>
      <c r="D65" s="44" t="s">
        <v>187</v>
      </c>
      <c r="E65" s="44" t="s">
        <v>191</v>
      </c>
      <c r="F65" s="53" t="s">
        <v>38</v>
      </c>
      <c r="G65" s="51">
        <v>746000</v>
      </c>
      <c r="H65" s="46">
        <v>58.914000000000001</v>
      </c>
      <c r="I65" s="46">
        <v>92.325999999999993</v>
      </c>
      <c r="J65" s="47"/>
      <c r="K65" s="40">
        <v>45992</v>
      </c>
      <c r="L65" s="40">
        <v>46088</v>
      </c>
      <c r="M65" s="40" t="s">
        <v>27</v>
      </c>
      <c r="N65" s="40" t="s">
        <v>189</v>
      </c>
      <c r="O65" s="40" t="s">
        <v>81</v>
      </c>
      <c r="P65" s="40" t="s">
        <v>135</v>
      </c>
    </row>
    <row r="66" spans="1:16" ht="50">
      <c r="A66" s="41" t="s">
        <v>186</v>
      </c>
      <c r="B66" s="50" t="s">
        <v>35</v>
      </c>
      <c r="C66" s="48" t="s">
        <v>88</v>
      </c>
      <c r="D66" s="44" t="s">
        <v>187</v>
      </c>
      <c r="E66" s="44" t="s">
        <v>192</v>
      </c>
      <c r="F66" s="53" t="s">
        <v>38</v>
      </c>
      <c r="G66" s="51">
        <v>746000</v>
      </c>
      <c r="H66" s="46">
        <v>58.914000000000001</v>
      </c>
      <c r="I66" s="46">
        <v>92.325999999999993</v>
      </c>
      <c r="J66" s="47"/>
      <c r="K66" s="40">
        <v>45992</v>
      </c>
      <c r="L66" s="40">
        <v>46088</v>
      </c>
      <c r="M66" s="40" t="s">
        <v>83</v>
      </c>
      <c r="N66" s="40" t="s">
        <v>189</v>
      </c>
      <c r="O66" s="40" t="s">
        <v>84</v>
      </c>
      <c r="P66" s="40" t="s">
        <v>135</v>
      </c>
    </row>
    <row r="67" spans="1:16" ht="50">
      <c r="A67" s="41" t="s">
        <v>186</v>
      </c>
      <c r="B67" s="50" t="s">
        <v>35</v>
      </c>
      <c r="C67" s="48" t="s">
        <v>88</v>
      </c>
      <c r="D67" s="44" t="s">
        <v>187</v>
      </c>
      <c r="E67" s="44" t="s">
        <v>193</v>
      </c>
      <c r="F67" s="53" t="s">
        <v>38</v>
      </c>
      <c r="G67" s="51">
        <v>746000</v>
      </c>
      <c r="H67" s="46">
        <v>58.914000000000001</v>
      </c>
      <c r="I67" s="46">
        <v>92.325999999999993</v>
      </c>
      <c r="J67" s="47"/>
      <c r="K67" s="40">
        <v>45992</v>
      </c>
      <c r="L67" s="40">
        <v>46088</v>
      </c>
      <c r="M67" s="40" t="s">
        <v>45</v>
      </c>
      <c r="N67" s="40" t="s">
        <v>189</v>
      </c>
      <c r="O67" s="40" t="s">
        <v>47</v>
      </c>
      <c r="P67" s="40" t="s">
        <v>135</v>
      </c>
    </row>
    <row r="68" spans="1:16" ht="46.5">
      <c r="A68" s="41" t="s">
        <v>194</v>
      </c>
      <c r="B68" s="50" t="s">
        <v>35</v>
      </c>
      <c r="C68" s="48" t="s">
        <v>88</v>
      </c>
      <c r="D68" s="44" t="s">
        <v>195</v>
      </c>
      <c r="E68" s="44" t="s">
        <v>196</v>
      </c>
      <c r="F68" s="53" t="s">
        <v>38</v>
      </c>
      <c r="G68" s="51">
        <v>830000</v>
      </c>
      <c r="H68" s="46">
        <v>155.41800000000001</v>
      </c>
      <c r="I68" s="46">
        <v>168.4</v>
      </c>
      <c r="J68" s="47" t="s">
        <v>197</v>
      </c>
      <c r="K68" s="40">
        <v>45999</v>
      </c>
      <c r="L68" s="40">
        <v>46101</v>
      </c>
      <c r="M68" s="40" t="s">
        <v>74</v>
      </c>
      <c r="N68" s="40" t="s">
        <v>198</v>
      </c>
      <c r="O68" s="40" t="s">
        <v>76</v>
      </c>
      <c r="P68" s="40" t="s">
        <v>199</v>
      </c>
    </row>
    <row r="69" spans="1:16" ht="50">
      <c r="A69" s="41" t="s">
        <v>194</v>
      </c>
      <c r="B69" s="50" t="s">
        <v>35</v>
      </c>
      <c r="C69" s="48" t="s">
        <v>88</v>
      </c>
      <c r="D69" s="44" t="s">
        <v>195</v>
      </c>
      <c r="E69" s="44" t="s">
        <v>200</v>
      </c>
      <c r="F69" s="53" t="s">
        <v>38</v>
      </c>
      <c r="G69" s="51">
        <v>830000</v>
      </c>
      <c r="H69" s="46">
        <v>155.41800000000001</v>
      </c>
      <c r="I69" s="46">
        <v>168.4</v>
      </c>
      <c r="J69" s="47" t="s">
        <v>197</v>
      </c>
      <c r="K69" s="40">
        <v>45999</v>
      </c>
      <c r="L69" s="40">
        <v>46101</v>
      </c>
      <c r="M69" s="40" t="s">
        <v>79</v>
      </c>
      <c r="N69" s="40" t="s">
        <v>198</v>
      </c>
      <c r="O69" s="40" t="s">
        <v>29</v>
      </c>
      <c r="P69" s="40" t="s">
        <v>199</v>
      </c>
    </row>
    <row r="70" spans="1:16" ht="46.5">
      <c r="A70" s="41" t="s">
        <v>194</v>
      </c>
      <c r="B70" s="50" t="s">
        <v>35</v>
      </c>
      <c r="C70" s="48" t="s">
        <v>88</v>
      </c>
      <c r="D70" s="44" t="s">
        <v>195</v>
      </c>
      <c r="E70" s="44" t="s">
        <v>201</v>
      </c>
      <c r="F70" s="53" t="s">
        <v>38</v>
      </c>
      <c r="G70" s="51">
        <v>830000</v>
      </c>
      <c r="H70" s="46">
        <v>155.41800000000001</v>
      </c>
      <c r="I70" s="46">
        <v>168.4</v>
      </c>
      <c r="J70" s="47" t="s">
        <v>197</v>
      </c>
      <c r="K70" s="40">
        <v>45999</v>
      </c>
      <c r="L70" s="40">
        <v>46101</v>
      </c>
      <c r="M70" s="40" t="s">
        <v>27</v>
      </c>
      <c r="N70" s="40" t="s">
        <v>198</v>
      </c>
      <c r="O70" s="40" t="s">
        <v>81</v>
      </c>
      <c r="P70" s="40" t="s">
        <v>199</v>
      </c>
    </row>
    <row r="71" spans="1:16" ht="50">
      <c r="A71" s="41" t="s">
        <v>194</v>
      </c>
      <c r="B71" s="50" t="s">
        <v>35</v>
      </c>
      <c r="C71" s="48" t="s">
        <v>88</v>
      </c>
      <c r="D71" s="44" t="s">
        <v>195</v>
      </c>
      <c r="E71" s="44" t="s">
        <v>202</v>
      </c>
      <c r="F71" s="53" t="s">
        <v>38</v>
      </c>
      <c r="G71" s="51">
        <v>830000</v>
      </c>
      <c r="H71" s="46">
        <v>155.41800000000001</v>
      </c>
      <c r="I71" s="46">
        <v>168.4</v>
      </c>
      <c r="J71" s="47" t="s">
        <v>197</v>
      </c>
      <c r="K71" s="40">
        <v>45999</v>
      </c>
      <c r="L71" s="40">
        <v>46101</v>
      </c>
      <c r="M71" s="40" t="s">
        <v>83</v>
      </c>
      <c r="N71" s="40" t="s">
        <v>198</v>
      </c>
      <c r="O71" s="40" t="s">
        <v>84</v>
      </c>
      <c r="P71" s="40" t="s">
        <v>199</v>
      </c>
    </row>
    <row r="72" spans="1:16" ht="50">
      <c r="A72" s="41" t="s">
        <v>194</v>
      </c>
      <c r="B72" s="50" t="s">
        <v>35</v>
      </c>
      <c r="C72" s="48" t="s">
        <v>88</v>
      </c>
      <c r="D72" s="44" t="s">
        <v>195</v>
      </c>
      <c r="E72" s="44" t="s">
        <v>203</v>
      </c>
      <c r="F72" s="53" t="s">
        <v>38</v>
      </c>
      <c r="G72" s="51">
        <v>830000</v>
      </c>
      <c r="H72" s="46">
        <v>155.41800000000001</v>
      </c>
      <c r="I72" s="46">
        <v>168.4</v>
      </c>
      <c r="J72" s="47" t="s">
        <v>197</v>
      </c>
      <c r="K72" s="40">
        <v>45999</v>
      </c>
      <c r="L72" s="40">
        <v>46101</v>
      </c>
      <c r="M72" s="40" t="s">
        <v>45</v>
      </c>
      <c r="N72" s="40" t="s">
        <v>198</v>
      </c>
      <c r="O72" s="40" t="s">
        <v>47</v>
      </c>
      <c r="P72" s="40" t="s">
        <v>199</v>
      </c>
    </row>
    <row r="73" spans="1:16" ht="26">
      <c r="A73" s="41" t="s">
        <v>204</v>
      </c>
      <c r="B73" s="50" t="s">
        <v>35</v>
      </c>
      <c r="C73" s="48" t="s">
        <v>18</v>
      </c>
      <c r="D73" s="44" t="s">
        <v>205</v>
      </c>
      <c r="E73" s="44" t="s">
        <v>206</v>
      </c>
      <c r="F73" s="53" t="s">
        <v>38</v>
      </c>
      <c r="G73" s="51">
        <v>830000</v>
      </c>
      <c r="H73" s="46" t="s">
        <v>207</v>
      </c>
      <c r="I73" s="46">
        <v>45.345999999999997</v>
      </c>
      <c r="J73" s="47"/>
      <c r="K73" s="40">
        <v>45667</v>
      </c>
      <c r="L73" s="40">
        <v>45668</v>
      </c>
      <c r="M73" s="40"/>
      <c r="N73" s="40"/>
      <c r="O73" s="40"/>
      <c r="P73" s="40"/>
    </row>
    <row r="74" spans="1:16" ht="37.5">
      <c r="A74" s="41" t="s">
        <v>208</v>
      </c>
      <c r="B74" s="50" t="s">
        <v>35</v>
      </c>
      <c r="C74" s="48" t="s">
        <v>88</v>
      </c>
      <c r="D74" s="44" t="s">
        <v>209</v>
      </c>
      <c r="E74" s="44" t="s">
        <v>210</v>
      </c>
      <c r="F74" s="53" t="s">
        <v>38</v>
      </c>
      <c r="G74" s="51">
        <v>830000</v>
      </c>
      <c r="H74" s="46">
        <v>112.8</v>
      </c>
      <c r="I74" s="46">
        <v>154.4</v>
      </c>
      <c r="J74" s="47"/>
      <c r="K74" s="40">
        <v>45992</v>
      </c>
      <c r="L74" s="40">
        <v>46088</v>
      </c>
      <c r="M74" s="40" t="s">
        <v>74</v>
      </c>
      <c r="N74" s="40" t="s">
        <v>211</v>
      </c>
      <c r="O74" s="40" t="s">
        <v>76</v>
      </c>
      <c r="P74" s="40" t="s">
        <v>212</v>
      </c>
    </row>
    <row r="75" spans="1:16" ht="50">
      <c r="A75" s="41" t="s">
        <v>208</v>
      </c>
      <c r="B75" s="50" t="s">
        <v>35</v>
      </c>
      <c r="C75" s="48" t="s">
        <v>88</v>
      </c>
      <c r="D75" s="44" t="s">
        <v>209</v>
      </c>
      <c r="E75" s="44" t="s">
        <v>213</v>
      </c>
      <c r="F75" s="53" t="s">
        <v>38</v>
      </c>
      <c r="G75" s="51">
        <v>830000</v>
      </c>
      <c r="H75" s="46">
        <v>112.8</v>
      </c>
      <c r="I75" s="46">
        <v>154.4</v>
      </c>
      <c r="J75" s="47"/>
      <c r="K75" s="40">
        <v>45992</v>
      </c>
      <c r="L75" s="40">
        <v>46088</v>
      </c>
      <c r="M75" s="40" t="s">
        <v>79</v>
      </c>
      <c r="N75" s="40" t="s">
        <v>211</v>
      </c>
      <c r="O75" s="40" t="s">
        <v>29</v>
      </c>
      <c r="P75" s="40" t="s">
        <v>212</v>
      </c>
    </row>
    <row r="76" spans="1:16" ht="37.5">
      <c r="A76" s="41" t="s">
        <v>208</v>
      </c>
      <c r="B76" s="50" t="s">
        <v>35</v>
      </c>
      <c r="C76" s="48" t="s">
        <v>88</v>
      </c>
      <c r="D76" s="44" t="s">
        <v>209</v>
      </c>
      <c r="E76" s="44" t="s">
        <v>214</v>
      </c>
      <c r="F76" s="53" t="s">
        <v>38</v>
      </c>
      <c r="G76" s="51">
        <v>830000</v>
      </c>
      <c r="H76" s="46">
        <v>112.8</v>
      </c>
      <c r="I76" s="46">
        <v>154.4</v>
      </c>
      <c r="J76" s="47"/>
      <c r="K76" s="40">
        <v>45992</v>
      </c>
      <c r="L76" s="40">
        <v>46088</v>
      </c>
      <c r="M76" s="40" t="s">
        <v>27</v>
      </c>
      <c r="N76" s="40" t="s">
        <v>211</v>
      </c>
      <c r="O76" s="40" t="s">
        <v>81</v>
      </c>
      <c r="P76" s="40" t="s">
        <v>212</v>
      </c>
    </row>
    <row r="77" spans="1:16" ht="50">
      <c r="A77" s="41" t="s">
        <v>208</v>
      </c>
      <c r="B77" s="50" t="s">
        <v>35</v>
      </c>
      <c r="C77" s="48" t="s">
        <v>88</v>
      </c>
      <c r="D77" s="44" t="s">
        <v>209</v>
      </c>
      <c r="E77" s="44" t="s">
        <v>215</v>
      </c>
      <c r="F77" s="53" t="s">
        <v>38</v>
      </c>
      <c r="G77" s="51">
        <v>830000</v>
      </c>
      <c r="H77" s="46">
        <v>112.8</v>
      </c>
      <c r="I77" s="46">
        <v>154.4</v>
      </c>
      <c r="J77" s="47"/>
      <c r="K77" s="40">
        <v>45992</v>
      </c>
      <c r="L77" s="40">
        <v>46088</v>
      </c>
      <c r="M77" s="40" t="s">
        <v>83</v>
      </c>
      <c r="N77" s="40" t="s">
        <v>211</v>
      </c>
      <c r="O77" s="40" t="s">
        <v>84</v>
      </c>
      <c r="P77" s="40" t="s">
        <v>212</v>
      </c>
    </row>
    <row r="78" spans="1:16" ht="50">
      <c r="A78" s="41" t="s">
        <v>208</v>
      </c>
      <c r="B78" s="50" t="s">
        <v>35</v>
      </c>
      <c r="C78" s="48" t="s">
        <v>88</v>
      </c>
      <c r="D78" s="44" t="s">
        <v>209</v>
      </c>
      <c r="E78" s="44" t="s">
        <v>216</v>
      </c>
      <c r="F78" s="53" t="s">
        <v>38</v>
      </c>
      <c r="G78" s="51">
        <v>830000</v>
      </c>
      <c r="H78" s="46">
        <v>112.8</v>
      </c>
      <c r="I78" s="46">
        <v>154.4</v>
      </c>
      <c r="J78" s="47"/>
      <c r="K78" s="40">
        <v>45992</v>
      </c>
      <c r="L78" s="40">
        <v>46088</v>
      </c>
      <c r="M78" s="40" t="s">
        <v>45</v>
      </c>
      <c r="N78" s="40" t="s">
        <v>211</v>
      </c>
      <c r="O78" s="40" t="s">
        <v>47</v>
      </c>
      <c r="P78" s="40" t="s">
        <v>212</v>
      </c>
    </row>
    <row r="79" spans="1:16" ht="39">
      <c r="A79" s="55" t="s">
        <v>217</v>
      </c>
      <c r="B79" s="50" t="s">
        <v>35</v>
      </c>
      <c r="C79" s="48" t="s">
        <v>18</v>
      </c>
      <c r="D79" s="44" t="s">
        <v>218</v>
      </c>
      <c r="E79" s="44" t="s">
        <v>219</v>
      </c>
      <c r="F79" s="53" t="s">
        <v>38</v>
      </c>
      <c r="G79" s="51">
        <v>830000</v>
      </c>
      <c r="H79" s="46">
        <v>1.29</v>
      </c>
      <c r="I79" s="46">
        <v>2.6949999999999998</v>
      </c>
      <c r="J79" s="47"/>
      <c r="K79" s="40">
        <v>45662</v>
      </c>
      <c r="L79" s="40">
        <v>45667</v>
      </c>
      <c r="M79" s="40"/>
      <c r="N79" s="40"/>
      <c r="O79" s="40"/>
      <c r="P79" s="40"/>
    </row>
    <row r="80" spans="1:16" ht="39">
      <c r="A80" s="55" t="s">
        <v>217</v>
      </c>
      <c r="B80" s="50" t="s">
        <v>35</v>
      </c>
      <c r="C80" s="48" t="s">
        <v>18</v>
      </c>
      <c r="D80" s="44" t="s">
        <v>218</v>
      </c>
      <c r="E80" s="44" t="s">
        <v>220</v>
      </c>
      <c r="F80" s="53" t="s">
        <v>38</v>
      </c>
      <c r="G80" s="51">
        <v>830000</v>
      </c>
      <c r="H80" s="46">
        <v>1.29</v>
      </c>
      <c r="I80" s="46">
        <v>2.6949999999999998</v>
      </c>
      <c r="J80" s="47"/>
      <c r="K80" s="40">
        <v>45662</v>
      </c>
      <c r="L80" s="40">
        <v>45667</v>
      </c>
      <c r="M80" s="40"/>
      <c r="N80" s="40"/>
      <c r="O80" s="40"/>
      <c r="P80" s="40"/>
    </row>
    <row r="81" spans="1:16" ht="39">
      <c r="A81" s="55" t="s">
        <v>217</v>
      </c>
      <c r="B81" s="50" t="s">
        <v>35</v>
      </c>
      <c r="C81" s="48" t="s">
        <v>18</v>
      </c>
      <c r="D81" s="44" t="s">
        <v>218</v>
      </c>
      <c r="E81" s="44" t="s">
        <v>221</v>
      </c>
      <c r="F81" s="53" t="s">
        <v>38</v>
      </c>
      <c r="G81" s="51">
        <v>830000</v>
      </c>
      <c r="H81" s="46">
        <v>1.29</v>
      </c>
      <c r="I81" s="46">
        <v>2.6949999999999998</v>
      </c>
      <c r="J81" s="47"/>
      <c r="K81" s="40">
        <v>45662</v>
      </c>
      <c r="L81" s="40">
        <v>45667</v>
      </c>
      <c r="M81" s="40"/>
      <c r="N81" s="40"/>
      <c r="O81" s="40"/>
      <c r="P81" s="40"/>
    </row>
    <row r="82" spans="1:16" ht="39">
      <c r="A82" s="55" t="s">
        <v>217</v>
      </c>
      <c r="B82" s="50" t="s">
        <v>35</v>
      </c>
      <c r="C82" s="48" t="s">
        <v>18</v>
      </c>
      <c r="D82" s="44" t="s">
        <v>218</v>
      </c>
      <c r="E82" s="44" t="s">
        <v>222</v>
      </c>
      <c r="F82" s="53" t="s">
        <v>38</v>
      </c>
      <c r="G82" s="51">
        <v>830000</v>
      </c>
      <c r="H82" s="46">
        <v>1.29</v>
      </c>
      <c r="I82" s="46">
        <v>2.6949999999999998</v>
      </c>
      <c r="J82" s="47"/>
      <c r="K82" s="40">
        <v>45662</v>
      </c>
      <c r="L82" s="40">
        <v>45667</v>
      </c>
      <c r="M82" s="40"/>
      <c r="N82" s="40"/>
      <c r="O82" s="40"/>
      <c r="P82" s="40"/>
    </row>
    <row r="83" spans="1:16" ht="39">
      <c r="A83" s="55" t="s">
        <v>217</v>
      </c>
      <c r="B83" s="50" t="s">
        <v>35</v>
      </c>
      <c r="C83" s="48" t="s">
        <v>18</v>
      </c>
      <c r="D83" s="44" t="s">
        <v>218</v>
      </c>
      <c r="E83" s="44" t="s">
        <v>223</v>
      </c>
      <c r="F83" s="53" t="s">
        <v>38</v>
      </c>
      <c r="G83" s="51">
        <v>830000</v>
      </c>
      <c r="H83" s="46">
        <v>1.29</v>
      </c>
      <c r="I83" s="46">
        <v>2.6949999999999998</v>
      </c>
      <c r="J83" s="47"/>
      <c r="K83" s="40">
        <v>45662</v>
      </c>
      <c r="L83" s="40">
        <v>45667</v>
      </c>
      <c r="M83" s="40"/>
      <c r="N83" s="40"/>
      <c r="O83" s="40"/>
      <c r="P83" s="40"/>
    </row>
    <row r="84" spans="1:16" ht="39">
      <c r="A84" s="55" t="s">
        <v>217</v>
      </c>
      <c r="B84" s="50" t="s">
        <v>35</v>
      </c>
      <c r="C84" s="48" t="s">
        <v>18</v>
      </c>
      <c r="D84" s="44" t="s">
        <v>218</v>
      </c>
      <c r="E84" s="44" t="s">
        <v>224</v>
      </c>
      <c r="F84" s="53" t="s">
        <v>38</v>
      </c>
      <c r="G84" s="51">
        <v>830000</v>
      </c>
      <c r="H84" s="46">
        <v>1.29</v>
      </c>
      <c r="I84" s="46">
        <v>2.6949999999999998</v>
      </c>
      <c r="J84" s="47"/>
      <c r="K84" s="40">
        <v>45662</v>
      </c>
      <c r="L84" s="40">
        <v>45667</v>
      </c>
      <c r="M84" s="40"/>
      <c r="N84" s="40"/>
      <c r="O84" s="40"/>
      <c r="P84" s="40"/>
    </row>
    <row r="85" spans="1:16" ht="31">
      <c r="A85" s="41" t="s">
        <v>225</v>
      </c>
      <c r="B85" s="50" t="s">
        <v>17</v>
      </c>
      <c r="C85" s="48" t="s">
        <v>18</v>
      </c>
      <c r="D85" s="44" t="s">
        <v>226</v>
      </c>
      <c r="E85" s="44" t="s">
        <v>227</v>
      </c>
      <c r="F85" s="53" t="s">
        <v>21</v>
      </c>
      <c r="G85" s="51">
        <v>860000</v>
      </c>
      <c r="H85" s="46">
        <v>330</v>
      </c>
      <c r="I85" s="46">
        <v>382</v>
      </c>
      <c r="J85" s="47" t="s">
        <v>228</v>
      </c>
      <c r="K85" s="40">
        <v>45662</v>
      </c>
      <c r="L85" s="40">
        <v>46031</v>
      </c>
      <c r="M85" s="40"/>
      <c r="N85" s="40"/>
      <c r="O85" s="40"/>
      <c r="P85" s="40"/>
    </row>
    <row r="86" spans="1:16" ht="31">
      <c r="A86" s="41" t="s">
        <v>225</v>
      </c>
      <c r="B86" s="50" t="s">
        <v>17</v>
      </c>
      <c r="C86" s="48" t="s">
        <v>18</v>
      </c>
      <c r="D86" s="44" t="s">
        <v>226</v>
      </c>
      <c r="E86" s="44" t="s">
        <v>229</v>
      </c>
      <c r="F86" s="53" t="s">
        <v>21</v>
      </c>
      <c r="G86" s="51">
        <v>860000</v>
      </c>
      <c r="H86" s="46">
        <v>330</v>
      </c>
      <c r="I86" s="46">
        <v>382</v>
      </c>
      <c r="J86" s="47" t="s">
        <v>228</v>
      </c>
      <c r="K86" s="40">
        <v>45662</v>
      </c>
      <c r="L86" s="40">
        <v>46031</v>
      </c>
      <c r="M86" s="40"/>
      <c r="N86" s="40"/>
      <c r="O86" s="40"/>
      <c r="P86" s="40"/>
    </row>
    <row r="87" spans="1:16" ht="37.5">
      <c r="A87" s="41" t="s">
        <v>225</v>
      </c>
      <c r="B87" s="50" t="s">
        <v>17</v>
      </c>
      <c r="C87" s="48" t="s">
        <v>18</v>
      </c>
      <c r="D87" s="44" t="s">
        <v>226</v>
      </c>
      <c r="E87" s="44" t="s">
        <v>230</v>
      </c>
      <c r="F87" s="53" t="s">
        <v>21</v>
      </c>
      <c r="G87" s="51">
        <v>860000</v>
      </c>
      <c r="H87" s="46">
        <v>330</v>
      </c>
      <c r="I87" s="46">
        <v>382</v>
      </c>
      <c r="J87" s="47" t="s">
        <v>228</v>
      </c>
      <c r="K87" s="40">
        <v>45662</v>
      </c>
      <c r="L87" s="40">
        <v>46031</v>
      </c>
      <c r="M87" s="40" t="s">
        <v>27</v>
      </c>
      <c r="N87" s="40" t="s">
        <v>231</v>
      </c>
      <c r="O87" s="40" t="s">
        <v>81</v>
      </c>
      <c r="P87" s="40" t="s">
        <v>232</v>
      </c>
    </row>
    <row r="88" spans="1:16" ht="50">
      <c r="A88" s="41" t="s">
        <v>225</v>
      </c>
      <c r="B88" s="50" t="s">
        <v>17</v>
      </c>
      <c r="C88" s="48" t="s">
        <v>18</v>
      </c>
      <c r="D88" s="44" t="s">
        <v>226</v>
      </c>
      <c r="E88" s="44" t="s">
        <v>233</v>
      </c>
      <c r="F88" s="53" t="s">
        <v>21</v>
      </c>
      <c r="G88" s="51">
        <v>860000</v>
      </c>
      <c r="H88" s="46">
        <v>330</v>
      </c>
      <c r="I88" s="46">
        <v>382</v>
      </c>
      <c r="J88" s="47" t="s">
        <v>228</v>
      </c>
      <c r="K88" s="40">
        <v>45662</v>
      </c>
      <c r="L88" s="40">
        <v>46031</v>
      </c>
      <c r="M88" s="40" t="s">
        <v>83</v>
      </c>
      <c r="N88" s="40" t="s">
        <v>231</v>
      </c>
      <c r="O88" s="40" t="s">
        <v>84</v>
      </c>
      <c r="P88" s="40" t="s">
        <v>232</v>
      </c>
    </row>
    <row r="89" spans="1:16" ht="50">
      <c r="A89" s="41" t="s">
        <v>225</v>
      </c>
      <c r="B89" s="50" t="s">
        <v>17</v>
      </c>
      <c r="C89" s="48" t="s">
        <v>18</v>
      </c>
      <c r="D89" s="44" t="s">
        <v>226</v>
      </c>
      <c r="E89" s="44" t="s">
        <v>234</v>
      </c>
      <c r="F89" s="53" t="s">
        <v>21</v>
      </c>
      <c r="G89" s="51">
        <v>860000</v>
      </c>
      <c r="H89" s="46">
        <v>330</v>
      </c>
      <c r="I89" s="46">
        <v>382</v>
      </c>
      <c r="J89" s="47" t="s">
        <v>228</v>
      </c>
      <c r="K89" s="40">
        <v>45662</v>
      </c>
      <c r="L89" s="40">
        <v>46031</v>
      </c>
      <c r="M89" s="40" t="s">
        <v>45</v>
      </c>
      <c r="N89" s="40" t="s">
        <v>231</v>
      </c>
      <c r="O89" s="40" t="s">
        <v>47</v>
      </c>
      <c r="P89" s="40" t="s">
        <v>232</v>
      </c>
    </row>
    <row r="90" spans="1:16" ht="56">
      <c r="A90" s="41" t="s">
        <v>16</v>
      </c>
      <c r="B90" s="50" t="s">
        <v>17</v>
      </c>
      <c r="C90" s="48" t="s">
        <v>55</v>
      </c>
      <c r="D90" s="44" t="s">
        <v>19</v>
      </c>
      <c r="E90" s="59" t="s">
        <v>235</v>
      </c>
      <c r="F90" s="53" t="s">
        <v>21</v>
      </c>
      <c r="G90" s="51">
        <v>830000</v>
      </c>
      <c r="H90" s="46">
        <v>380</v>
      </c>
      <c r="I90" s="46">
        <v>385</v>
      </c>
      <c r="J90" s="60" t="s">
        <v>22</v>
      </c>
      <c r="K90" s="40">
        <v>46027</v>
      </c>
      <c r="L90" s="40">
        <v>46109</v>
      </c>
      <c r="M90" s="40"/>
      <c r="N90" s="40"/>
      <c r="O90" s="40"/>
      <c r="P90" s="40"/>
    </row>
    <row r="91" spans="1:16" ht="42">
      <c r="A91" s="41" t="s">
        <v>236</v>
      </c>
      <c r="B91" s="50" t="s">
        <v>17</v>
      </c>
      <c r="C91" s="48" t="s">
        <v>18</v>
      </c>
      <c r="D91" s="44" t="s">
        <v>237</v>
      </c>
      <c r="E91" s="44" t="s">
        <v>219</v>
      </c>
      <c r="F91" s="53" t="s">
        <v>21</v>
      </c>
      <c r="G91" s="51">
        <v>830000</v>
      </c>
      <c r="H91" s="46">
        <v>153</v>
      </c>
      <c r="I91" s="46">
        <v>172</v>
      </c>
      <c r="J91" s="47" t="s">
        <v>197</v>
      </c>
      <c r="K91" s="40">
        <v>45662</v>
      </c>
      <c r="L91" s="40">
        <v>46031</v>
      </c>
      <c r="M91" s="40"/>
      <c r="N91" s="40"/>
      <c r="O91" s="40"/>
      <c r="P91" s="40"/>
    </row>
    <row r="92" spans="1:16" ht="42">
      <c r="A92" s="41" t="s">
        <v>236</v>
      </c>
      <c r="B92" s="50" t="s">
        <v>17</v>
      </c>
      <c r="C92" s="48" t="s">
        <v>18</v>
      </c>
      <c r="D92" s="44" t="s">
        <v>237</v>
      </c>
      <c r="E92" s="44" t="s">
        <v>220</v>
      </c>
      <c r="F92" s="53" t="s">
        <v>21</v>
      </c>
      <c r="G92" s="51">
        <v>830000</v>
      </c>
      <c r="H92" s="46">
        <v>153</v>
      </c>
      <c r="I92" s="46">
        <v>172</v>
      </c>
      <c r="J92" s="47" t="s">
        <v>197</v>
      </c>
      <c r="K92" s="40">
        <v>45662</v>
      </c>
      <c r="L92" s="40">
        <v>46031</v>
      </c>
      <c r="M92" s="40"/>
      <c r="N92" s="40"/>
      <c r="O92" s="40"/>
      <c r="P92" s="40"/>
    </row>
    <row r="93" spans="1:16" ht="42">
      <c r="A93" s="41" t="s">
        <v>236</v>
      </c>
      <c r="B93" s="50" t="s">
        <v>17</v>
      </c>
      <c r="C93" s="48" t="s">
        <v>18</v>
      </c>
      <c r="D93" s="44" t="s">
        <v>237</v>
      </c>
      <c r="E93" s="44" t="s">
        <v>221</v>
      </c>
      <c r="F93" s="53" t="s">
        <v>21</v>
      </c>
      <c r="G93" s="51">
        <v>830000</v>
      </c>
      <c r="H93" s="46">
        <v>153</v>
      </c>
      <c r="I93" s="46">
        <v>172</v>
      </c>
      <c r="J93" s="47" t="s">
        <v>197</v>
      </c>
      <c r="K93" s="40">
        <v>45662</v>
      </c>
      <c r="L93" s="40">
        <v>46031</v>
      </c>
      <c r="M93" s="40"/>
      <c r="N93" s="40"/>
      <c r="O93" s="40"/>
      <c r="P93" s="40"/>
    </row>
    <row r="94" spans="1:16" ht="42">
      <c r="A94" s="41" t="s">
        <v>236</v>
      </c>
      <c r="B94" s="50" t="s">
        <v>17</v>
      </c>
      <c r="C94" s="48" t="s">
        <v>18</v>
      </c>
      <c r="D94" s="44" t="s">
        <v>237</v>
      </c>
      <c r="E94" s="44" t="s">
        <v>222</v>
      </c>
      <c r="F94" s="53" t="s">
        <v>21</v>
      </c>
      <c r="G94" s="51">
        <v>830000</v>
      </c>
      <c r="H94" s="46">
        <v>153</v>
      </c>
      <c r="I94" s="46">
        <v>172</v>
      </c>
      <c r="J94" s="47" t="s">
        <v>197</v>
      </c>
      <c r="K94" s="40">
        <v>45662</v>
      </c>
      <c r="L94" s="40">
        <v>46031</v>
      </c>
      <c r="M94" s="40"/>
      <c r="N94" s="40"/>
      <c r="O94" s="40"/>
      <c r="P94" s="40"/>
    </row>
    <row r="95" spans="1:16" ht="42">
      <c r="A95" s="41" t="s">
        <v>236</v>
      </c>
      <c r="B95" s="50" t="s">
        <v>17</v>
      </c>
      <c r="C95" s="48" t="s">
        <v>18</v>
      </c>
      <c r="D95" s="44" t="s">
        <v>237</v>
      </c>
      <c r="E95" s="44" t="s">
        <v>223</v>
      </c>
      <c r="F95" s="53" t="s">
        <v>21</v>
      </c>
      <c r="G95" s="51">
        <v>830000</v>
      </c>
      <c r="H95" s="46">
        <v>153</v>
      </c>
      <c r="I95" s="46">
        <v>172</v>
      </c>
      <c r="J95" s="47" t="s">
        <v>197</v>
      </c>
      <c r="K95" s="40">
        <v>45662</v>
      </c>
      <c r="L95" s="40">
        <v>46031</v>
      </c>
      <c r="M95" s="40"/>
      <c r="N95" s="40"/>
      <c r="O95" s="40"/>
      <c r="P95" s="40"/>
    </row>
    <row r="96" spans="1:16" ht="42">
      <c r="A96" s="41" t="s">
        <v>236</v>
      </c>
      <c r="B96" s="50" t="s">
        <v>17</v>
      </c>
      <c r="C96" s="48" t="s">
        <v>18</v>
      </c>
      <c r="D96" s="44" t="s">
        <v>237</v>
      </c>
      <c r="E96" s="44" t="s">
        <v>238</v>
      </c>
      <c r="F96" s="53" t="s">
        <v>21</v>
      </c>
      <c r="G96" s="51">
        <v>830000</v>
      </c>
      <c r="H96" s="46">
        <v>153</v>
      </c>
      <c r="I96" s="46">
        <v>172</v>
      </c>
      <c r="J96" s="47" t="s">
        <v>197</v>
      </c>
      <c r="K96" s="40">
        <v>45662</v>
      </c>
      <c r="L96" s="40">
        <v>46031</v>
      </c>
      <c r="M96" s="40"/>
      <c r="N96" s="40"/>
      <c r="O96" s="40"/>
      <c r="P96" s="40"/>
    </row>
    <row r="97" spans="1:16" ht="42">
      <c r="A97" s="41" t="s">
        <v>236</v>
      </c>
      <c r="B97" s="50" t="s">
        <v>17</v>
      </c>
      <c r="C97" s="48" t="s">
        <v>18</v>
      </c>
      <c r="D97" s="44" t="s">
        <v>237</v>
      </c>
      <c r="E97" s="44" t="s">
        <v>239</v>
      </c>
      <c r="F97" s="53" t="s">
        <v>21</v>
      </c>
      <c r="G97" s="51">
        <v>830000</v>
      </c>
      <c r="H97" s="46">
        <v>153</v>
      </c>
      <c r="I97" s="46">
        <v>172</v>
      </c>
      <c r="J97" s="47" t="s">
        <v>197</v>
      </c>
      <c r="K97" s="40">
        <v>45662</v>
      </c>
      <c r="L97" s="40">
        <v>46031</v>
      </c>
      <c r="M97" s="40"/>
      <c r="N97" s="40"/>
      <c r="O97" s="40"/>
      <c r="P97" s="40"/>
    </row>
    <row r="98" spans="1:16" ht="37.5">
      <c r="A98" s="41" t="s">
        <v>240</v>
      </c>
      <c r="B98" s="50" t="s">
        <v>17</v>
      </c>
      <c r="C98" s="48" t="s">
        <v>18</v>
      </c>
      <c r="D98" s="44" t="s">
        <v>241</v>
      </c>
      <c r="E98" s="44" t="s">
        <v>242</v>
      </c>
      <c r="F98" s="53" t="s">
        <v>21</v>
      </c>
      <c r="G98" s="51">
        <v>830000</v>
      </c>
      <c r="H98" s="46">
        <v>113</v>
      </c>
      <c r="I98" s="46">
        <v>155</v>
      </c>
      <c r="J98" s="47"/>
      <c r="K98" s="40">
        <v>45662</v>
      </c>
      <c r="L98" s="40">
        <v>46031</v>
      </c>
      <c r="M98" s="40" t="s">
        <v>74</v>
      </c>
      <c r="N98" s="40" t="s">
        <v>243</v>
      </c>
      <c r="O98" s="40" t="s">
        <v>76</v>
      </c>
      <c r="P98" s="40" t="s">
        <v>244</v>
      </c>
    </row>
    <row r="99" spans="1:16" ht="50">
      <c r="A99" s="41" t="s">
        <v>240</v>
      </c>
      <c r="B99" s="50" t="s">
        <v>17</v>
      </c>
      <c r="C99" s="48" t="s">
        <v>18</v>
      </c>
      <c r="D99" s="44" t="s">
        <v>241</v>
      </c>
      <c r="E99" s="44" t="s">
        <v>245</v>
      </c>
      <c r="F99" s="53" t="s">
        <v>21</v>
      </c>
      <c r="G99" s="51">
        <v>830000</v>
      </c>
      <c r="H99" s="46">
        <v>113</v>
      </c>
      <c r="I99" s="46">
        <v>155</v>
      </c>
      <c r="J99" s="47"/>
      <c r="K99" s="40">
        <v>45662</v>
      </c>
      <c r="L99" s="40">
        <v>46031</v>
      </c>
      <c r="M99" s="40" t="s">
        <v>79</v>
      </c>
      <c r="N99" s="40" t="s">
        <v>243</v>
      </c>
      <c r="O99" s="40" t="s">
        <v>29</v>
      </c>
      <c r="P99" s="40" t="s">
        <v>244</v>
      </c>
    </row>
    <row r="100" spans="1:16" ht="37.5">
      <c r="A100" s="41" t="s">
        <v>240</v>
      </c>
      <c r="B100" s="50" t="s">
        <v>17</v>
      </c>
      <c r="C100" s="48" t="s">
        <v>18</v>
      </c>
      <c r="D100" s="44" t="s">
        <v>241</v>
      </c>
      <c r="E100" s="44" t="s">
        <v>246</v>
      </c>
      <c r="F100" s="53" t="s">
        <v>21</v>
      </c>
      <c r="G100" s="51">
        <v>830000</v>
      </c>
      <c r="H100" s="46">
        <v>113</v>
      </c>
      <c r="I100" s="46">
        <v>155</v>
      </c>
      <c r="J100" s="47"/>
      <c r="K100" s="40">
        <v>45662</v>
      </c>
      <c r="L100" s="40">
        <v>46031</v>
      </c>
      <c r="M100" s="40" t="s">
        <v>27</v>
      </c>
      <c r="N100" s="40" t="s">
        <v>243</v>
      </c>
      <c r="O100" s="40" t="s">
        <v>81</v>
      </c>
      <c r="P100" s="40" t="s">
        <v>244</v>
      </c>
    </row>
    <row r="101" spans="1:16" ht="50">
      <c r="A101" s="41" t="s">
        <v>240</v>
      </c>
      <c r="B101" s="50" t="s">
        <v>17</v>
      </c>
      <c r="C101" s="48" t="s">
        <v>18</v>
      </c>
      <c r="D101" s="44" t="s">
        <v>241</v>
      </c>
      <c r="E101" s="44" t="s">
        <v>247</v>
      </c>
      <c r="F101" s="53" t="s">
        <v>21</v>
      </c>
      <c r="G101" s="51">
        <v>830000</v>
      </c>
      <c r="H101" s="46">
        <v>113</v>
      </c>
      <c r="I101" s="46">
        <v>155</v>
      </c>
      <c r="J101" s="47"/>
      <c r="K101" s="40">
        <v>45662</v>
      </c>
      <c r="L101" s="40">
        <v>46031</v>
      </c>
      <c r="M101" s="40" t="s">
        <v>83</v>
      </c>
      <c r="N101" s="40" t="s">
        <v>243</v>
      </c>
      <c r="O101" s="40" t="s">
        <v>84</v>
      </c>
      <c r="P101" s="40" t="s">
        <v>244</v>
      </c>
    </row>
    <row r="102" spans="1:16" ht="50">
      <c r="A102" s="41" t="s">
        <v>240</v>
      </c>
      <c r="B102" s="50" t="s">
        <v>17</v>
      </c>
      <c r="C102" s="48" t="s">
        <v>18</v>
      </c>
      <c r="D102" s="44" t="s">
        <v>241</v>
      </c>
      <c r="E102" s="44" t="s">
        <v>248</v>
      </c>
      <c r="F102" s="53" t="s">
        <v>21</v>
      </c>
      <c r="G102" s="51">
        <v>830000</v>
      </c>
      <c r="H102" s="46">
        <v>113</v>
      </c>
      <c r="I102" s="46">
        <v>155</v>
      </c>
      <c r="J102" s="47"/>
      <c r="K102" s="40">
        <v>45662</v>
      </c>
      <c r="L102" s="40">
        <v>46031</v>
      </c>
      <c r="M102" s="40" t="s">
        <v>45</v>
      </c>
      <c r="N102" s="40" t="s">
        <v>243</v>
      </c>
      <c r="O102" s="40" t="s">
        <v>47</v>
      </c>
      <c r="P102" s="40" t="s">
        <v>244</v>
      </c>
    </row>
    <row r="103" spans="1:16" ht="37.5">
      <c r="A103" s="41" t="s">
        <v>249</v>
      </c>
      <c r="B103" s="50" t="s">
        <v>250</v>
      </c>
      <c r="C103" s="43" t="s">
        <v>69</v>
      </c>
      <c r="D103" s="44" t="s">
        <v>251</v>
      </c>
      <c r="E103" s="44" t="s">
        <v>252</v>
      </c>
      <c r="F103" s="23" t="s">
        <v>72</v>
      </c>
      <c r="G103" s="51">
        <v>908000</v>
      </c>
      <c r="H103" s="46">
        <v>48.57</v>
      </c>
      <c r="I103" s="46">
        <v>67</v>
      </c>
      <c r="J103" s="47" t="s">
        <v>253</v>
      </c>
      <c r="K103" s="40">
        <v>46027</v>
      </c>
      <c r="L103" s="40">
        <v>46029</v>
      </c>
      <c r="M103" s="40" t="s">
        <v>74</v>
      </c>
      <c r="N103" s="40" t="s">
        <v>254</v>
      </c>
      <c r="O103" s="40" t="s">
        <v>76</v>
      </c>
      <c r="P103" s="40" t="s">
        <v>156</v>
      </c>
    </row>
    <row r="104" spans="1:16" ht="50">
      <c r="A104" s="41" t="s">
        <v>249</v>
      </c>
      <c r="B104" s="50" t="s">
        <v>250</v>
      </c>
      <c r="C104" s="43" t="s">
        <v>69</v>
      </c>
      <c r="D104" s="44" t="s">
        <v>251</v>
      </c>
      <c r="E104" s="44" t="s">
        <v>255</v>
      </c>
      <c r="F104" s="23" t="s">
        <v>72</v>
      </c>
      <c r="G104" s="51">
        <v>908000</v>
      </c>
      <c r="H104" s="46">
        <v>48.57</v>
      </c>
      <c r="I104" s="46">
        <v>67</v>
      </c>
      <c r="J104" s="47" t="s">
        <v>253</v>
      </c>
      <c r="K104" s="40">
        <v>46027</v>
      </c>
      <c r="L104" s="40">
        <v>46029</v>
      </c>
      <c r="M104" s="40" t="s">
        <v>79</v>
      </c>
      <c r="N104" s="40" t="s">
        <v>254</v>
      </c>
      <c r="O104" s="40" t="s">
        <v>29</v>
      </c>
      <c r="P104" s="40" t="s">
        <v>156</v>
      </c>
    </row>
  </sheetData>
  <autoFilter ref="A1:P1"/>
  <conditionalFormatting sqref="C3:C26 C33:C1048576">
    <cfRule type="cellIs" dxfId="81" priority="208" operator="equal">
      <formula>"Sévérisé fortifié"</formula>
    </cfRule>
    <cfRule type="cellIs" dxfId="80" priority="209" operator="equal">
      <formula>"Sévérisé"</formula>
    </cfRule>
    <cfRule type="cellIs" dxfId="79" priority="210" operator="equal">
      <formula>"Sévérisé Jaune"</formula>
    </cfRule>
    <cfRule type="cellIs" dxfId="78" priority="211" operator="equal">
      <formula>"Autre"</formula>
    </cfRule>
    <cfRule type="cellIs" dxfId="77" priority="212" operator="equal">
      <formula>"RAS"</formula>
    </cfRule>
  </conditionalFormatting>
  <conditionalFormatting sqref="P1 P3 P33:P1048576 R1:S1 R3:S6 R8:S8 R10:S26 R33:S1048576">
    <cfRule type="cellIs" dxfId="76" priority="204" operator="equal">
      <formula>"J"</formula>
    </cfRule>
    <cfRule type="cellIs" dxfId="75" priority="205" operator="equal">
      <formula>"N"</formula>
    </cfRule>
    <cfRule type="cellIs" dxfId="74" priority="206" operator="equal">
      <formula>"WE"</formula>
    </cfRule>
    <cfRule type="cellIs" dxfId="73" priority="207" operator="equal">
      <formula>""</formula>
    </cfRule>
  </conditionalFormatting>
  <conditionalFormatting sqref="M1:O1 M3:O3 M4:Q26 M31:N31 M33:O1048576 P31:R31 Q1 Q3 Q33:Q1048576">
    <cfRule type="cellIs" dxfId="72" priority="200" operator="equal">
      <formula>"J"</formula>
    </cfRule>
    <cfRule type="cellIs" dxfId="71" priority="201" operator="equal">
      <formula>"N"</formula>
    </cfRule>
    <cfRule type="cellIs" dxfId="70" priority="202" operator="equal">
      <formula>"WE"</formula>
    </cfRule>
    <cfRule type="cellIs" dxfId="69" priority="203" operator="equal">
      <formula>""</formula>
    </cfRule>
  </conditionalFormatting>
  <conditionalFormatting sqref="R7:S7">
    <cfRule type="cellIs" dxfId="68" priority="99" operator="equal">
      <formula>"J"</formula>
    </cfRule>
    <cfRule type="cellIs" dxfId="67" priority="100" operator="equal">
      <formula>"N"</formula>
    </cfRule>
    <cfRule type="cellIs" dxfId="66" priority="101" operator="equal">
      <formula>"WE"</formula>
    </cfRule>
    <cfRule type="cellIs" dxfId="65" priority="102" operator="equal">
      <formula>""</formula>
    </cfRule>
  </conditionalFormatting>
  <conditionalFormatting sqref="R9:S9">
    <cfRule type="cellIs" dxfId="64" priority="95" operator="equal">
      <formula>"J"</formula>
    </cfRule>
    <cfRule type="cellIs" dxfId="63" priority="96" operator="equal">
      <formula>"N"</formula>
    </cfRule>
    <cfRule type="cellIs" dxfId="62" priority="97" operator="equal">
      <formula>"WE"</formula>
    </cfRule>
    <cfRule type="cellIs" dxfId="61" priority="98" operator="equal">
      <formula>""</formula>
    </cfRule>
  </conditionalFormatting>
  <conditionalFormatting sqref="C27">
    <cfRule type="cellIs" dxfId="60" priority="73" operator="equal">
      <formula>"Sévérisé fortifié"</formula>
    </cfRule>
    <cfRule type="cellIs" dxfId="59" priority="74" operator="equal">
      <formula>"Sévérisé"</formula>
    </cfRule>
    <cfRule type="cellIs" dxfId="58" priority="75" operator="equal">
      <formula>"Sévérisé Jaune"</formula>
    </cfRule>
    <cfRule type="cellIs" dxfId="57" priority="76" operator="equal">
      <formula>"Autre"</formula>
    </cfRule>
    <cfRule type="cellIs" dxfId="56" priority="77" operator="equal">
      <formula>"RAS"</formula>
    </cfRule>
  </conditionalFormatting>
  <conditionalFormatting sqref="M27:S27">
    <cfRule type="cellIs" dxfId="55" priority="69" operator="equal">
      <formula>"J"</formula>
    </cfRule>
    <cfRule type="cellIs" dxfId="54" priority="70" operator="equal">
      <formula>"N"</formula>
    </cfRule>
    <cfRule type="cellIs" dxfId="53" priority="71" operator="equal">
      <formula>"WE"</formula>
    </cfRule>
    <cfRule type="cellIs" dxfId="52" priority="72" operator="equal">
      <formula>""</formula>
    </cfRule>
  </conditionalFormatting>
  <conditionalFormatting sqref="C28:C29">
    <cfRule type="cellIs" dxfId="51" priority="64" operator="equal">
      <formula>"Sévérisé fortifié"</formula>
    </cfRule>
    <cfRule type="cellIs" dxfId="50" priority="65" operator="equal">
      <formula>"Sévérisé"</formula>
    </cfRule>
    <cfRule type="cellIs" dxfId="49" priority="66" operator="equal">
      <formula>"Sévérisé Jaune"</formula>
    </cfRule>
    <cfRule type="cellIs" dxfId="48" priority="67" operator="equal">
      <formula>"Autre"</formula>
    </cfRule>
    <cfRule type="cellIs" dxfId="47" priority="68" operator="equal">
      <formula>"RAS"</formula>
    </cfRule>
  </conditionalFormatting>
  <conditionalFormatting sqref="M28:Q29">
    <cfRule type="cellIs" dxfId="46" priority="60" operator="equal">
      <formula>"J"</formula>
    </cfRule>
    <cfRule type="cellIs" dxfId="45" priority="61" operator="equal">
      <formula>"N"</formula>
    </cfRule>
    <cfRule type="cellIs" dxfId="44" priority="62" operator="equal">
      <formula>"WE"</formula>
    </cfRule>
    <cfRule type="cellIs" dxfId="43" priority="63" operator="equal">
      <formula>""</formula>
    </cfRule>
  </conditionalFormatting>
  <conditionalFormatting sqref="R28:S28">
    <cfRule type="cellIs" dxfId="42" priority="56" operator="equal">
      <formula>"J"</formula>
    </cfRule>
    <cfRule type="cellIs" dxfId="41" priority="57" operator="equal">
      <formula>"N"</formula>
    </cfRule>
    <cfRule type="cellIs" dxfId="40" priority="58" operator="equal">
      <formula>"WE"</formula>
    </cfRule>
    <cfRule type="cellIs" dxfId="39" priority="59" operator="equal">
      <formula>""</formula>
    </cfRule>
  </conditionalFormatting>
  <conditionalFormatting sqref="R29:S29">
    <cfRule type="cellIs" dxfId="38" priority="52" operator="equal">
      <formula>"J"</formula>
    </cfRule>
    <cfRule type="cellIs" dxfId="37" priority="53" operator="equal">
      <formula>"N"</formula>
    </cfRule>
    <cfRule type="cellIs" dxfId="36" priority="54" operator="equal">
      <formula>"WE"</formula>
    </cfRule>
    <cfRule type="cellIs" dxfId="35" priority="55" operator="equal">
      <formula>""</formula>
    </cfRule>
  </conditionalFormatting>
  <conditionalFormatting sqref="C30">
    <cfRule type="cellIs" dxfId="34" priority="43" operator="equal">
      <formula>"Sévérisé fortifié"</formula>
    </cfRule>
    <cfRule type="cellIs" dxfId="33" priority="44" operator="equal">
      <formula>"Sévérisé"</formula>
    </cfRule>
    <cfRule type="cellIs" dxfId="32" priority="45" operator="equal">
      <formula>"Sévérisé Jaune"</formula>
    </cfRule>
    <cfRule type="cellIs" dxfId="31" priority="46" operator="equal">
      <formula>"Autre"</formula>
    </cfRule>
    <cfRule type="cellIs" dxfId="30" priority="47" operator="equal">
      <formula>"RAS"</formula>
    </cfRule>
  </conditionalFormatting>
  <conditionalFormatting sqref="R30:S30">
    <cfRule type="cellIs" dxfId="29" priority="39" operator="equal">
      <formula>"J"</formula>
    </cfRule>
    <cfRule type="cellIs" dxfId="28" priority="40" operator="equal">
      <formula>"N"</formula>
    </cfRule>
    <cfRule type="cellIs" dxfId="27" priority="41" operator="equal">
      <formula>"WE"</formula>
    </cfRule>
    <cfRule type="cellIs" dxfId="26" priority="42" operator="equal">
      <formula>""</formula>
    </cfRule>
  </conditionalFormatting>
  <conditionalFormatting sqref="M30:Q30">
    <cfRule type="cellIs" dxfId="25" priority="35" operator="equal">
      <formula>"J"</formula>
    </cfRule>
    <cfRule type="cellIs" dxfId="24" priority="36" operator="equal">
      <formula>"N"</formula>
    </cfRule>
    <cfRule type="cellIs" dxfId="23" priority="37" operator="equal">
      <formula>"WE"</formula>
    </cfRule>
    <cfRule type="cellIs" dxfId="22" priority="38" operator="equal">
      <formula>""</formula>
    </cfRule>
  </conditionalFormatting>
  <conditionalFormatting sqref="C31">
    <cfRule type="cellIs" dxfId="21" priority="26" operator="equal">
      <formula>"Sévérisé fortifié"</formula>
    </cfRule>
    <cfRule type="cellIs" dxfId="20" priority="27" operator="equal">
      <formula>"Sévérisé"</formula>
    </cfRule>
    <cfRule type="cellIs" dxfId="19" priority="28" operator="equal">
      <formula>"Sévérisé Jaune"</formula>
    </cfRule>
    <cfRule type="cellIs" dxfId="18" priority="29" operator="equal">
      <formula>"Autre"</formula>
    </cfRule>
    <cfRule type="cellIs" dxfId="17" priority="30" operator="equal">
      <formula>"RAS"</formula>
    </cfRule>
  </conditionalFormatting>
  <conditionalFormatting sqref="S31">
    <cfRule type="cellIs" dxfId="16" priority="18" operator="equal">
      <formula>"J"</formula>
    </cfRule>
    <cfRule type="cellIs" dxfId="15" priority="19" operator="equal">
      <formula>"N"</formula>
    </cfRule>
    <cfRule type="cellIs" dxfId="14" priority="20" operator="equal">
      <formula>"WE"</formula>
    </cfRule>
    <cfRule type="cellIs" dxfId="13" priority="21" operator="equal">
      <formula>""</formula>
    </cfRule>
  </conditionalFormatting>
  <conditionalFormatting sqref="C32">
    <cfRule type="cellIs" dxfId="12" priority="9" operator="equal">
      <formula>"Sévérisé fortifié"</formula>
    </cfRule>
    <cfRule type="cellIs" dxfId="11" priority="10" operator="equal">
      <formula>"Sévérisé"</formula>
    </cfRule>
    <cfRule type="cellIs" dxfId="10" priority="11" operator="equal">
      <formula>"Sévérisé Jaune"</formula>
    </cfRule>
    <cfRule type="cellIs" dxfId="9" priority="12" operator="equal">
      <formula>"Autre"</formula>
    </cfRule>
    <cfRule type="cellIs" dxfId="8" priority="13" operator="equal">
      <formula>"RAS"</formula>
    </cfRule>
  </conditionalFormatting>
  <conditionalFormatting sqref="R32:S32">
    <cfRule type="cellIs" dxfId="7" priority="5" operator="equal">
      <formula>"J"</formula>
    </cfRule>
    <cfRule type="cellIs" dxfId="6" priority="6" operator="equal">
      <formula>"N"</formula>
    </cfRule>
    <cfRule type="cellIs" dxfId="5" priority="7" operator="equal">
      <formula>"WE"</formula>
    </cfRule>
    <cfRule type="cellIs" dxfId="4" priority="8" operator="equal">
      <formula>""</formula>
    </cfRule>
  </conditionalFormatting>
  <conditionalFormatting sqref="M32:Q32">
    <cfRule type="cellIs" dxfId="3" priority="1" operator="equal">
      <formula>"J"</formula>
    </cfRule>
    <cfRule type="cellIs" dxfId="2" priority="2" operator="equal">
      <formula>"N"</formula>
    </cfRule>
    <cfRule type="cellIs" dxfId="1" priority="3" operator="equal">
      <formula>"WE"</formula>
    </cfRule>
    <cfRule type="cellIs" dxfId="0" priority="4" operator="equal">
      <formula>""</formula>
    </cfRule>
  </conditionalFormatting>
  <dataValidations count="2">
    <dataValidation type="list" allowBlank="1" showInputMessage="1" showErrorMessage="1" sqref="C4:C22 C27:C32">
      <formula1>PRIORITE</formula1>
    </dataValidation>
    <dataValidation type="list" allowBlank="1" showInputMessage="1" showErrorMessage="1" sqref="H27">
      <formula1>TP</formula1>
    </dataValidation>
  </dataValidations>
  <pageMargins left="0.7" right="0.7" top="0.75" bottom="0.75" header="0.3" footer="0.3"/>
  <pageSetup paperSize="9" orientation="portrait"/>
  <headerFooter>
    <oddFooter>&amp;L&amp;"Calibri"&amp;10 &amp;K008000_x000D_# Interne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S02-2026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MBAGA Josef-Mario (SNCF VOYAGEURS / ETABLISSEMENT DIRECTION VOYAGE AXE SUD-EST / Axe Sud-Est COS)</dc:creator>
  <cp:lastModifiedBy>Josef-Mario</cp:lastModifiedBy>
  <dcterms:created xsi:type="dcterms:W3CDTF">2025-10-06T12:35:49Z</dcterms:created>
  <dcterms:modified xsi:type="dcterms:W3CDTF">2026-06-15T02:45:00Z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d3f7c8-5c4b-4ab6-9486-a0a9eb08efa7_Enabled">
    <vt:lpwstr>true</vt:lpwstr>
  </property>
  <property fmtid="{D5CDD505-2E9C-101B-9397-08002B2CF9AE}" pid="3" name="MSIP_Label_c8d3f7c8-5c4b-4ab6-9486-a0a9eb08efa7_SetDate">
    <vt:lpwstr>2025-10-06T12:36:28Z</vt:lpwstr>
  </property>
  <property fmtid="{D5CDD505-2E9C-101B-9397-08002B2CF9AE}" pid="4" name="MSIP_Label_c8d3f7c8-5c4b-4ab6-9486-a0a9eb08efa7_Method">
    <vt:lpwstr>Standard</vt:lpwstr>
  </property>
  <property fmtid="{D5CDD505-2E9C-101B-9397-08002B2CF9AE}" pid="5" name="MSIP_Label_c8d3f7c8-5c4b-4ab6-9486-a0a9eb08efa7_Name">
    <vt:lpwstr>Interne - Groupe</vt:lpwstr>
  </property>
  <property fmtid="{D5CDD505-2E9C-101B-9397-08002B2CF9AE}" pid="6" name="MSIP_Label_c8d3f7c8-5c4b-4ab6-9486-a0a9eb08efa7_SiteId">
    <vt:lpwstr>4a7c8238-5799-4b16-9fc6-9ad8fce5a7d9</vt:lpwstr>
  </property>
  <property fmtid="{D5CDD505-2E9C-101B-9397-08002B2CF9AE}" pid="7" name="MSIP_Label_c8d3f7c8-5c4b-4ab6-9486-a0a9eb08efa7_ActionId">
    <vt:lpwstr>98eb72dd-a509-4513-8388-887018015ed6</vt:lpwstr>
  </property>
  <property fmtid="{D5CDD505-2E9C-101B-9397-08002B2CF9AE}" pid="8" name="MSIP_Label_c8d3f7c8-5c4b-4ab6-9486-a0a9eb08efa7_ContentBits">
    <vt:lpwstr>2</vt:lpwstr>
  </property>
  <property fmtid="{D5CDD505-2E9C-101B-9397-08002B2CF9AE}" pid="9" name="MSIP_Label_c8d3f7c8-5c4b-4ab6-9486-a0a9eb08efa7_Tag">
    <vt:lpwstr>10, 3, 0, 1</vt:lpwstr>
  </property>
  <property fmtid="{D5CDD505-2E9C-101B-9397-08002B2CF9AE}" pid="10" name="ContentTypeId">
    <vt:lpwstr>0x01010027A9EE300A990B409C9026AF97F13B85</vt:lpwstr>
  </property>
  <property fmtid="{D5CDD505-2E9C-101B-9397-08002B2CF9AE}" pid="11" name="MediaServiceImageTags">
    <vt:lpwstr/>
  </property>
</Properties>
</file>